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Inventory" sheetId="1" r:id="rId5"/>
    <sheet state="visible" name="Monthly Usage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<sst xmlns="http://schemas.openxmlformats.org/spreadsheetml/2006/main" count="96" uniqueCount="70">
  <si>
    <t>Column 1</t>
  </si>
  <si>
    <t>Vodka</t>
  </si>
  <si>
    <t>Triple Sec</t>
  </si>
  <si>
    <t>Rum No. 1</t>
  </si>
  <si>
    <t>All Spice Dram</t>
  </si>
  <si>
    <t>Gin 1</t>
  </si>
  <si>
    <t>Gin 2</t>
  </si>
  <si>
    <t>Gin 3</t>
  </si>
  <si>
    <t>Absinthe No. 1</t>
  </si>
  <si>
    <t>Absinthe No. 2</t>
  </si>
  <si>
    <t>Absinthe No 3</t>
  </si>
  <si>
    <t>Coffee Liqueur</t>
  </si>
  <si>
    <t>3 Pepper Vodka</t>
  </si>
  <si>
    <t>Red Wheat Bourbon</t>
  </si>
  <si>
    <t>SGS Corn</t>
  </si>
  <si>
    <t>SGS Red Wheat</t>
  </si>
  <si>
    <t>SGS Rye</t>
  </si>
  <si>
    <t>Spiced Rum</t>
  </si>
  <si>
    <t>Dark Spiced Rum</t>
  </si>
  <si>
    <t>Cinnamon Vodka</t>
  </si>
  <si>
    <t>Peppercorn Vodka</t>
  </si>
  <si>
    <t>Golden Creme de Menthe</t>
  </si>
  <si>
    <t>Creme de Cacao</t>
  </si>
  <si>
    <t>Princess Water</t>
  </si>
  <si>
    <t>Ladies Pleasure</t>
  </si>
  <si>
    <t>Riga Kummel</t>
  </si>
  <si>
    <t>Rum No. 2</t>
  </si>
  <si>
    <t>5 Tail Whiskey</t>
  </si>
  <si>
    <t>White Dog</t>
  </si>
  <si>
    <t>Low Entry Bourbon</t>
  </si>
  <si>
    <t>SGS Barley</t>
  </si>
  <si>
    <t>BlackStrap Rum</t>
  </si>
  <si>
    <t>Aged Rum</t>
  </si>
  <si>
    <t>Aged Rum No. 1</t>
  </si>
  <si>
    <t>Navy Strength Spiced Rum</t>
  </si>
  <si>
    <t>Rosolio di Rose</t>
  </si>
  <si>
    <t>Mid Entry Bourbon</t>
  </si>
  <si>
    <t>Krupnik</t>
  </si>
  <si>
    <t>Infinity Barrel</t>
  </si>
  <si>
    <t>Horseradish Vodka</t>
  </si>
  <si>
    <t>Vanilla Liqueur</t>
  </si>
  <si>
    <t>Strawberry Liqueur</t>
  </si>
  <si>
    <t>Cherry Ratafia</t>
  </si>
  <si>
    <t>Amaretto</t>
  </si>
  <si>
    <t>Maraschino</t>
  </si>
  <si>
    <t>Lemon Vodka</t>
  </si>
  <si>
    <t>Peach Schnapps</t>
  </si>
  <si>
    <t>Honey Barrel Corn</t>
  </si>
  <si>
    <t>Peppermint Schnapps</t>
  </si>
  <si>
    <t>Column 43</t>
  </si>
  <si>
    <t>Total</t>
  </si>
  <si>
    <t>Rum</t>
  </si>
  <si>
    <t>Absinthe</t>
  </si>
  <si>
    <t>Cinnamon Vodke</t>
  </si>
  <si>
    <t xml:space="preserve">5 Tail Whiskey </t>
  </si>
  <si>
    <t>Average</t>
  </si>
  <si>
    <t>Current</t>
  </si>
  <si>
    <t>November</t>
  </si>
  <si>
    <t>December</t>
  </si>
  <si>
    <t>January</t>
  </si>
  <si>
    <t xml:space="preserve">February </t>
  </si>
  <si>
    <t>March</t>
  </si>
  <si>
    <t>April</t>
  </si>
  <si>
    <t>May</t>
  </si>
  <si>
    <t>June</t>
  </si>
  <si>
    <t>Start</t>
  </si>
  <si>
    <t>Produced</t>
  </si>
  <si>
    <t>Used</t>
  </si>
  <si>
    <t>End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</si>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</sst>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1" numFmtId="164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3" fontId="2" numFmtId="164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1" xfId="0" applyFont="1" applyNumberFormat="1"/>
    <xf borderId="0" fillId="0" fontId="1" numFmtId="0" xfId="0" applyFont="1"/>
    <xf borderId="0" fillId="0" fontId="1" numFmtId="2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Weekly 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thly Usag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X126" displayName="Table1" name="Table1" id="1">
  <tableColumns count="50">
    <tableColumn name="Column 1" id="1"/>
    <tableColumn name="Vodka" id="2"/>
    <tableColumn name="Triple Sec" id="3"/>
    <tableColumn name="Rum No. 1" id="4"/>
    <tableColumn name="All Spice Dram" id="5"/>
    <tableColumn name="Gin 1" id="6"/>
    <tableColumn name="Gin 2" id="7"/>
    <tableColumn name="Gin 3" id="8"/>
    <tableColumn name="Absinthe No. 1" id="9"/>
    <tableColumn name="Absinthe No. 2" id="10"/>
    <tableColumn name="Absinthe No 3" id="11"/>
    <tableColumn name="Coffee Liqueur" id="12"/>
    <tableColumn name="3 Pepper Vodka" id="13"/>
    <tableColumn name="Red Wheat Bourbon" id="14"/>
    <tableColumn name="SGS Corn" id="15"/>
    <tableColumn name="SGS Red Wheat" id="16"/>
    <tableColumn name="SGS Rye" id="17"/>
    <tableColumn name="Spiced Rum" id="18"/>
    <tableColumn name="Dark Spiced Rum" id="19"/>
    <tableColumn name="Cinnamon Vodka" id="20"/>
    <tableColumn name="Peppercorn Vodka" id="21"/>
    <tableColumn name="Golden Creme de Menthe" id="22"/>
    <tableColumn name="Creme de Cacao" id="23"/>
    <tableColumn name="Princess Water" id="24"/>
    <tableColumn name="Ladies Pleasure" id="25"/>
    <tableColumn name="Riga Kummel" id="26"/>
    <tableColumn name="Rum No. 2" id="27"/>
    <tableColumn name="5 Tail Whiskey" id="28"/>
    <tableColumn name="White Dog" id="29"/>
    <tableColumn name="Low Entry Bourbon" id="30"/>
    <tableColumn name="SGS Barley" id="31"/>
    <tableColumn name="BlackStrap Rum" id="32"/>
    <tableColumn name="Aged Rum" id="33"/>
    <tableColumn name="Aged Rum No. 1" id="34"/>
    <tableColumn name="Navy Strength Spiced Rum" id="35"/>
    <tableColumn name="Rosolio di Rose" id="36"/>
    <tableColumn name="Mid Entry Bourbon" id="37"/>
    <tableColumn name="Krupnik" id="38"/>
    <tableColumn name="Infinity Barrel" id="39"/>
    <tableColumn name="Horseradish Vodka" id="40"/>
    <tableColumn name="Vanilla Liqueur" id="41"/>
    <tableColumn name="Strawberry Liqueur" id="42"/>
    <tableColumn name="Cherry Ratafia" id="43"/>
    <tableColumn name="Amaretto" id="44"/>
    <tableColumn name="Maraschino" id="45"/>
    <tableColumn name="Lemon Vodka" id="46"/>
    <tableColumn name="Peach Schnapps" id="47"/>
    <tableColumn name="Honey Barrel Corn" id="48"/>
    <tableColumn name="Peppermint Schnapps" id="49"/>
    <tableColumn name="Column 43" id="50"/>
  </tableColumns>
  <tableStyleInfo name="Weekly Inventory-style" showColumnStripes="0" showFirstColumn="1" showLastColumn="1" showRowStripes="1"/>
</table>
</file>

<file path=xl/tables/table2.xml><?xml version="1.0" encoding="utf-8"?>
<table xmlns="http://schemas.openxmlformats.org/spreadsheetml/2006/main" ref="A1:Y13" displayName="Table2" name="Table2" id="2">
  <tableColumns count="25">
    <tableColumn name="Column 1" id="1"/>
    <tableColumn name="Total" id="2"/>
    <tableColumn name="Vodka" id="3"/>
    <tableColumn name="Triple Sec" id="4"/>
    <tableColumn name="Rum" id="5"/>
    <tableColumn name="All Spice Dram" id="6"/>
    <tableColumn name="Gin 1" id="7"/>
    <tableColumn name="Gin 2" id="8"/>
    <tableColumn name="Gin 3" id="9"/>
    <tableColumn name="Absinthe" id="10"/>
    <tableColumn name="Coffee Liqueur" id="11"/>
    <tableColumn name="3 Pepper Vodka" id="12"/>
    <tableColumn name="Red Wheat Bourbon" id="13"/>
    <tableColumn name="SGS Corn" id="14"/>
    <tableColumn name="SGS Red Wheat" id="15"/>
    <tableColumn name="SGS Rye" id="16"/>
    <tableColumn name="Spiced Rum" id="17"/>
    <tableColumn name="Dark Spiced Rum" id="18"/>
    <tableColumn name="Cinnamon Vodke" id="19"/>
    <tableColumn name="Peppercorn Vodka" id="20"/>
    <tableColumn name="Golden Creme de Menthe" id="21"/>
    <tableColumn name="Creme de Cacao" id="22"/>
    <tableColumn name="Ladies Pleasure" id="23"/>
    <tableColumn name="Riga Kummel" id="24"/>
    <tableColumn name="Absinthe No. 2" id="25"/>
  </tableColumns>
  <tableStyleInfo name="Monthly Us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88"/>
    <col customWidth="1" min="2" max="2" width="13.38"/>
    <col customWidth="1" min="3" max="3" width="16.0"/>
    <col customWidth="1" min="5" max="5" width="19.5"/>
    <col customWidth="1" min="9" max="9" width="15.25"/>
    <col customWidth="1" min="10" max="10" width="13.25"/>
    <col customWidth="1" min="11" max="11" width="15.0"/>
    <col customWidth="1" min="12" max="12" width="19.63"/>
    <col customWidth="1" min="13" max="13" width="20.38"/>
    <col customWidth="1" min="14" max="14" width="23.38"/>
    <col customWidth="1" min="15" max="15" width="15.75"/>
    <col customWidth="1" min="16" max="16" width="20.25"/>
    <col customWidth="1" min="18" max="18" width="17.63"/>
    <col customWidth="1" min="19" max="20" width="21.38"/>
    <col customWidth="1" min="21" max="21" width="22.38"/>
    <col customWidth="1" min="22" max="22" width="24.25"/>
    <col customWidth="1" min="23" max="23" width="17.75"/>
    <col customWidth="1" min="24" max="24" width="17.25"/>
    <col customWidth="1" min="25" max="25" width="15.38"/>
    <col customWidth="1" min="26" max="26" width="16.38"/>
    <col customWidth="1" min="34" max="34" width="16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5" t="s">
        <v>28</v>
      </c>
      <c r="AD1" s="5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ht="22.5" customHeight="1">
      <c r="A2" s="6">
        <v>46069.0</v>
      </c>
      <c r="B2" s="7"/>
      <c r="C2" s="7"/>
      <c r="D2" s="7"/>
      <c r="E2" s="7"/>
      <c r="F2" s="7"/>
      <c r="G2" s="7"/>
      <c r="H2" s="7"/>
      <c r="I2" s="7"/>
      <c r="J2" s="8"/>
      <c r="K2" s="8"/>
      <c r="L2" s="7">
        <v>39.0</v>
      </c>
      <c r="M2" s="7"/>
      <c r="N2" s="7"/>
      <c r="O2" s="7"/>
      <c r="P2" s="7"/>
      <c r="Q2" s="8"/>
      <c r="R2" s="7">
        <v>115.0</v>
      </c>
      <c r="S2" s="7"/>
      <c r="T2" s="7"/>
      <c r="U2" s="7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7">
        <f t="shared" ref="AX2:AX5" si="1">SUM(B2:AW2)</f>
        <v>154</v>
      </c>
    </row>
    <row r="3" ht="22.5" customHeight="1">
      <c r="A3" s="6">
        <v>46059.0</v>
      </c>
      <c r="B3" s="7"/>
      <c r="C3" s="7"/>
      <c r="D3" s="7"/>
      <c r="E3" s="7"/>
      <c r="F3" s="7">
        <v>73.0</v>
      </c>
      <c r="G3" s="7"/>
      <c r="H3" s="7"/>
      <c r="I3" s="7"/>
      <c r="J3" s="8"/>
      <c r="K3" s="8"/>
      <c r="L3" s="7"/>
      <c r="M3" s="7"/>
      <c r="N3" s="7"/>
      <c r="O3" s="7"/>
      <c r="P3" s="7"/>
      <c r="Q3" s="8"/>
      <c r="R3" s="7"/>
      <c r="S3" s="7"/>
      <c r="T3" s="7"/>
      <c r="U3" s="7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7">
        <f t="shared" si="1"/>
        <v>73</v>
      </c>
    </row>
    <row r="4" ht="22.5" customHeight="1">
      <c r="A4" s="6">
        <v>46042.0</v>
      </c>
      <c r="B4" s="7"/>
      <c r="C4" s="7"/>
      <c r="D4" s="7"/>
      <c r="E4" s="7"/>
      <c r="F4" s="7"/>
      <c r="G4" s="7"/>
      <c r="H4" s="7"/>
      <c r="I4" s="7"/>
      <c r="J4" s="8"/>
      <c r="K4" s="8"/>
      <c r="L4" s="7"/>
      <c r="M4" s="7"/>
      <c r="N4" s="7"/>
      <c r="O4" s="7"/>
      <c r="P4" s="7"/>
      <c r="Q4" s="8"/>
      <c r="R4" s="7"/>
      <c r="S4" s="7"/>
      <c r="T4" s="7"/>
      <c r="U4" s="7"/>
      <c r="V4" s="8"/>
      <c r="W4" s="8"/>
      <c r="X4" s="8"/>
      <c r="Y4" s="8"/>
      <c r="Z4" s="8"/>
      <c r="AA4" s="8">
        <v>63.0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7">
        <f t="shared" si="1"/>
        <v>63</v>
      </c>
    </row>
    <row r="5" ht="22.5" customHeight="1">
      <c r="A5" s="9">
        <v>46020.0</v>
      </c>
      <c r="B5" s="10">
        <v>68.0</v>
      </c>
      <c r="C5" s="10">
        <v>31.0</v>
      </c>
      <c r="D5" s="10">
        <v>80.0</v>
      </c>
      <c r="E5" s="10">
        <v>18.0</v>
      </c>
      <c r="F5" s="10">
        <v>0.0</v>
      </c>
      <c r="G5" s="10">
        <v>61.0</v>
      </c>
      <c r="H5" s="10">
        <v>20.0</v>
      </c>
      <c r="I5" s="10">
        <v>10.0</v>
      </c>
      <c r="J5" s="11">
        <v>0.0</v>
      </c>
      <c r="K5" s="11">
        <v>5.0</v>
      </c>
      <c r="L5" s="10">
        <v>17.0</v>
      </c>
      <c r="M5" s="10">
        <v>50.0</v>
      </c>
      <c r="N5" s="10">
        <v>25.0</v>
      </c>
      <c r="O5" s="10"/>
      <c r="P5" s="10"/>
      <c r="Q5" s="11">
        <v>19.0</v>
      </c>
      <c r="R5" s="10">
        <v>0.0</v>
      </c>
      <c r="S5" s="10">
        <v>3.0</v>
      </c>
      <c r="T5" s="10">
        <v>0.0</v>
      </c>
      <c r="U5" s="10">
        <v>0.0</v>
      </c>
      <c r="V5" s="11">
        <v>10.0</v>
      </c>
      <c r="W5" s="11">
        <v>30.0</v>
      </c>
      <c r="X5" s="11">
        <v>17.0</v>
      </c>
      <c r="Y5" s="11">
        <v>26.0</v>
      </c>
      <c r="Z5" s="11">
        <v>9.0</v>
      </c>
      <c r="AA5" s="11">
        <v>0.0</v>
      </c>
      <c r="AB5" s="11">
        <v>0.0</v>
      </c>
      <c r="AC5" s="11">
        <v>17.0</v>
      </c>
      <c r="AD5" s="11">
        <v>0.0</v>
      </c>
      <c r="AE5" s="11">
        <v>5.0</v>
      </c>
      <c r="AF5" s="11">
        <v>0.0</v>
      </c>
      <c r="AG5" s="11">
        <v>0.0</v>
      </c>
      <c r="AH5" s="11">
        <v>25.0</v>
      </c>
      <c r="AI5" s="11">
        <v>0.0</v>
      </c>
      <c r="AJ5" s="11">
        <v>17.0</v>
      </c>
      <c r="AK5" s="11">
        <v>0.0</v>
      </c>
      <c r="AL5" s="11">
        <v>0.0</v>
      </c>
      <c r="AM5" s="11">
        <v>0.0</v>
      </c>
      <c r="AN5" s="11">
        <v>2.0</v>
      </c>
      <c r="AO5" s="11">
        <v>13.0</v>
      </c>
      <c r="AP5" s="11">
        <v>4.0</v>
      </c>
      <c r="AQ5" s="11">
        <v>28.0</v>
      </c>
      <c r="AR5" s="11">
        <v>17.0</v>
      </c>
      <c r="AS5" s="11">
        <v>49.0</v>
      </c>
      <c r="AT5" s="11">
        <v>0.0</v>
      </c>
      <c r="AU5" s="11">
        <v>16.0</v>
      </c>
      <c r="AV5" s="11">
        <v>20.0</v>
      </c>
      <c r="AW5" s="11">
        <v>32.0</v>
      </c>
      <c r="AX5" s="10">
        <f t="shared" si="1"/>
        <v>744</v>
      </c>
    </row>
    <row r="6" ht="22.5" customHeight="1">
      <c r="A6" s="12">
        <v>46009.0</v>
      </c>
      <c r="B6" s="13">
        <v>80.0</v>
      </c>
      <c r="C6" s="13"/>
      <c r="D6" s="13"/>
      <c r="E6" s="13"/>
      <c r="F6" s="13"/>
      <c r="G6" s="13">
        <v>70.0</v>
      </c>
      <c r="H6" s="13"/>
      <c r="I6" s="13"/>
      <c r="J6" s="14"/>
      <c r="K6" s="14"/>
      <c r="L6" s="13">
        <v>27.0</v>
      </c>
      <c r="M6" s="13"/>
      <c r="N6" s="13"/>
      <c r="O6" s="13"/>
      <c r="P6" s="13"/>
      <c r="Q6" s="14"/>
      <c r="R6" s="13"/>
      <c r="S6" s="13"/>
      <c r="T6" s="13"/>
      <c r="U6" s="13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3">
        <f t="shared" ref="AX6:AX8" si="2">SUM(B6:AU6)</f>
        <v>177</v>
      </c>
    </row>
    <row r="7" ht="22.5" customHeight="1">
      <c r="A7" s="9">
        <v>45992.0</v>
      </c>
      <c r="B7" s="10">
        <v>9.0</v>
      </c>
      <c r="C7" s="10">
        <v>40.0</v>
      </c>
      <c r="D7" s="10">
        <v>91.0</v>
      </c>
      <c r="E7" s="10">
        <v>34.0</v>
      </c>
      <c r="F7" s="10">
        <v>6.0</v>
      </c>
      <c r="G7" s="10">
        <v>4.0</v>
      </c>
      <c r="H7" s="10">
        <v>27.0</v>
      </c>
      <c r="I7" s="10">
        <v>14.0</v>
      </c>
      <c r="J7" s="11">
        <v>0.0</v>
      </c>
      <c r="K7" s="11">
        <v>6.0</v>
      </c>
      <c r="L7" s="10">
        <v>6.0</v>
      </c>
      <c r="M7" s="10">
        <v>71.0</v>
      </c>
      <c r="N7" s="10">
        <v>45.0</v>
      </c>
      <c r="O7" s="10">
        <v>0.0</v>
      </c>
      <c r="P7" s="10">
        <v>0.0</v>
      </c>
      <c r="Q7" s="11">
        <v>31.0</v>
      </c>
      <c r="R7" s="10">
        <v>0.0</v>
      </c>
      <c r="S7" s="10">
        <v>16.0</v>
      </c>
      <c r="T7" s="10">
        <v>1.0</v>
      </c>
      <c r="U7" s="10">
        <v>0.0</v>
      </c>
      <c r="V7" s="11">
        <v>13.0</v>
      </c>
      <c r="W7" s="11">
        <v>33.0</v>
      </c>
      <c r="X7" s="11">
        <v>35.0</v>
      </c>
      <c r="Y7" s="11">
        <v>36.0</v>
      </c>
      <c r="Z7" s="11">
        <v>10.0</v>
      </c>
      <c r="AA7" s="11">
        <v>2.0</v>
      </c>
      <c r="AB7" s="11">
        <v>0.0</v>
      </c>
      <c r="AC7" s="11">
        <v>17.0</v>
      </c>
      <c r="AD7" s="11">
        <v>0.0</v>
      </c>
      <c r="AE7" s="11">
        <v>7.0</v>
      </c>
      <c r="AF7" s="11">
        <v>0.0</v>
      </c>
      <c r="AG7" s="11">
        <v>0.0</v>
      </c>
      <c r="AH7" s="11">
        <v>27.0</v>
      </c>
      <c r="AI7" s="11">
        <v>0.0</v>
      </c>
      <c r="AJ7" s="11">
        <v>17.0</v>
      </c>
      <c r="AK7" s="11">
        <v>0.0</v>
      </c>
      <c r="AL7" s="11">
        <v>7.0</v>
      </c>
      <c r="AM7" s="11">
        <v>0.0</v>
      </c>
      <c r="AN7" s="11">
        <v>19.0</v>
      </c>
      <c r="AO7" s="11">
        <v>15.0</v>
      </c>
      <c r="AP7" s="11">
        <v>5.0</v>
      </c>
      <c r="AQ7" s="11">
        <v>33.0</v>
      </c>
      <c r="AR7" s="11">
        <v>27.0</v>
      </c>
      <c r="AS7" s="11">
        <v>49.0</v>
      </c>
      <c r="AT7" s="11">
        <v>0.0</v>
      </c>
      <c r="AU7" s="11">
        <v>21.0</v>
      </c>
      <c r="AV7" s="11"/>
      <c r="AW7" s="11"/>
      <c r="AX7" s="10">
        <f t="shared" si="2"/>
        <v>774</v>
      </c>
    </row>
    <row r="8" ht="22.5" customHeight="1">
      <c r="A8" s="12">
        <v>45991.0</v>
      </c>
      <c r="B8" s="13"/>
      <c r="C8" s="13"/>
      <c r="D8" s="13">
        <v>91.0</v>
      </c>
      <c r="E8" s="13"/>
      <c r="F8" s="13"/>
      <c r="G8" s="13"/>
      <c r="H8" s="13"/>
      <c r="I8" s="13"/>
      <c r="J8" s="14"/>
      <c r="K8" s="14"/>
      <c r="L8" s="13"/>
      <c r="M8" s="13"/>
      <c r="N8" s="13"/>
      <c r="O8" s="13"/>
      <c r="P8" s="13"/>
      <c r="Q8" s="14">
        <v>31.0</v>
      </c>
      <c r="R8" s="13"/>
      <c r="S8" s="13"/>
      <c r="T8" s="13"/>
      <c r="U8" s="13"/>
      <c r="V8" s="14"/>
      <c r="W8" s="14"/>
      <c r="X8" s="14">
        <v>35.0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>
        <v>33.0</v>
      </c>
      <c r="AR8" s="14"/>
      <c r="AS8" s="14"/>
      <c r="AT8" s="14"/>
      <c r="AU8" s="14"/>
      <c r="AV8" s="14"/>
      <c r="AW8" s="14"/>
      <c r="AX8" s="13">
        <f t="shared" si="2"/>
        <v>190</v>
      </c>
    </row>
    <row r="9" ht="22.5" customHeight="1">
      <c r="A9" s="12">
        <v>45973.0</v>
      </c>
      <c r="B9" s="13">
        <v>97.0</v>
      </c>
      <c r="C9" s="13"/>
      <c r="D9" s="15"/>
      <c r="E9" s="15"/>
      <c r="F9" s="15"/>
      <c r="G9" s="15"/>
      <c r="H9" s="13"/>
      <c r="I9" s="15"/>
      <c r="J9" s="16"/>
      <c r="K9" s="16"/>
      <c r="L9" s="13"/>
      <c r="M9" s="15"/>
      <c r="N9" s="13">
        <v>58.0</v>
      </c>
      <c r="O9" s="15"/>
      <c r="P9" s="15"/>
      <c r="Q9" s="16"/>
      <c r="R9" s="15"/>
      <c r="S9" s="15"/>
      <c r="T9" s="15"/>
      <c r="U9" s="15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4">
        <v>15.0</v>
      </c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3">
        <f t="shared" ref="AX9:AX24" si="3">SUM(B9:AT9)</f>
        <v>170</v>
      </c>
    </row>
    <row r="10" ht="22.5" customHeight="1">
      <c r="A10" s="9">
        <v>45936.0</v>
      </c>
      <c r="B10" s="10">
        <v>61.0</v>
      </c>
      <c r="C10" s="10">
        <v>50.0</v>
      </c>
      <c r="D10" s="10">
        <v>10.0</v>
      </c>
      <c r="E10" s="10">
        <v>44.0</v>
      </c>
      <c r="F10" s="10">
        <v>20.0</v>
      </c>
      <c r="G10" s="10">
        <v>22.0</v>
      </c>
      <c r="H10" s="10">
        <v>39.0</v>
      </c>
      <c r="I10" s="10">
        <v>16.0</v>
      </c>
      <c r="J10" s="11">
        <v>0.0</v>
      </c>
      <c r="K10" s="11">
        <v>7.0</v>
      </c>
      <c r="L10" s="10">
        <v>14.0</v>
      </c>
      <c r="M10" s="10">
        <v>95.0</v>
      </c>
      <c r="N10" s="10">
        <v>0.0</v>
      </c>
      <c r="O10" s="10">
        <v>0.0</v>
      </c>
      <c r="P10" s="10">
        <v>0.0</v>
      </c>
      <c r="Q10" s="11">
        <v>0.0</v>
      </c>
      <c r="R10" s="10">
        <v>11.0</v>
      </c>
      <c r="S10" s="10">
        <v>32.0</v>
      </c>
      <c r="T10" s="10">
        <v>3.0</v>
      </c>
      <c r="U10" s="10">
        <v>0.0</v>
      </c>
      <c r="V10" s="11">
        <v>13.0</v>
      </c>
      <c r="W10" s="11">
        <v>36.0</v>
      </c>
      <c r="X10" s="11">
        <v>2.0</v>
      </c>
      <c r="Y10" s="11">
        <v>43.0</v>
      </c>
      <c r="Z10" s="11">
        <v>10.0</v>
      </c>
      <c r="AA10" s="11">
        <v>7.0</v>
      </c>
      <c r="AB10" s="11">
        <v>0.0</v>
      </c>
      <c r="AC10" s="11">
        <v>17.0</v>
      </c>
      <c r="AD10" s="11">
        <v>0.0</v>
      </c>
      <c r="AE10" s="11">
        <v>13.0</v>
      </c>
      <c r="AF10" s="11">
        <v>0.0</v>
      </c>
      <c r="AG10" s="11">
        <v>7.0</v>
      </c>
      <c r="AH10" s="11">
        <v>35.0</v>
      </c>
      <c r="AI10" s="11">
        <v>2.0</v>
      </c>
      <c r="AJ10" s="11">
        <v>17.0</v>
      </c>
      <c r="AK10" s="11">
        <v>0.0</v>
      </c>
      <c r="AL10" s="11">
        <v>3.0</v>
      </c>
      <c r="AM10" s="11">
        <v>0.0</v>
      </c>
      <c r="AN10" s="11">
        <v>26.0</v>
      </c>
      <c r="AO10" s="11">
        <v>3.0</v>
      </c>
      <c r="AP10" s="11">
        <v>7.0</v>
      </c>
      <c r="AQ10" s="11">
        <v>0.0</v>
      </c>
      <c r="AR10" s="11">
        <v>40.0</v>
      </c>
      <c r="AS10" s="11">
        <v>50.0</v>
      </c>
      <c r="AT10" s="11">
        <v>0.0</v>
      </c>
      <c r="AU10" s="11"/>
      <c r="AV10" s="11"/>
      <c r="AW10" s="11"/>
      <c r="AX10" s="10">
        <f t="shared" si="3"/>
        <v>755</v>
      </c>
    </row>
    <row r="11" ht="22.5" customHeight="1">
      <c r="A11" s="9">
        <v>45929.0</v>
      </c>
      <c r="B11" s="10">
        <v>69.0</v>
      </c>
      <c r="C11" s="10">
        <v>52.0</v>
      </c>
      <c r="D11" s="10">
        <v>21.0</v>
      </c>
      <c r="E11" s="10">
        <v>46.0</v>
      </c>
      <c r="F11" s="10">
        <v>20.0</v>
      </c>
      <c r="G11" s="10">
        <v>23.0</v>
      </c>
      <c r="H11" s="10">
        <v>39.0</v>
      </c>
      <c r="I11" s="10">
        <v>16.0</v>
      </c>
      <c r="J11" s="11">
        <v>0.0</v>
      </c>
      <c r="K11" s="11">
        <v>7.0</v>
      </c>
      <c r="L11" s="10">
        <v>15.0</v>
      </c>
      <c r="M11" s="10">
        <v>96.0</v>
      </c>
      <c r="N11" s="10">
        <v>0.0</v>
      </c>
      <c r="O11" s="10">
        <v>0.0</v>
      </c>
      <c r="P11" s="10">
        <v>0.0</v>
      </c>
      <c r="Q11" s="11">
        <v>0.0</v>
      </c>
      <c r="R11" s="10">
        <v>14.0</v>
      </c>
      <c r="S11" s="10">
        <v>34.0</v>
      </c>
      <c r="T11" s="10">
        <v>3.0</v>
      </c>
      <c r="U11" s="10">
        <v>0.0</v>
      </c>
      <c r="V11" s="11">
        <v>13.0</v>
      </c>
      <c r="W11" s="11">
        <v>36.0</v>
      </c>
      <c r="X11" s="11">
        <v>2.0</v>
      </c>
      <c r="Y11" s="11">
        <v>47.0</v>
      </c>
      <c r="Z11" s="11">
        <v>10.0</v>
      </c>
      <c r="AA11" s="11">
        <v>7.0</v>
      </c>
      <c r="AB11" s="11">
        <v>0.0</v>
      </c>
      <c r="AC11" s="11">
        <v>17.0</v>
      </c>
      <c r="AD11" s="11">
        <v>0.0</v>
      </c>
      <c r="AE11" s="11">
        <v>16.0</v>
      </c>
      <c r="AF11" s="11">
        <v>1.0</v>
      </c>
      <c r="AG11" s="11">
        <v>7.0</v>
      </c>
      <c r="AH11" s="11">
        <v>35.0</v>
      </c>
      <c r="AI11" s="11">
        <v>4.0</v>
      </c>
      <c r="AJ11" s="11">
        <v>17.0</v>
      </c>
      <c r="AK11" s="11">
        <v>0.0</v>
      </c>
      <c r="AL11" s="11">
        <v>3.0</v>
      </c>
      <c r="AM11" s="11">
        <v>0.0</v>
      </c>
      <c r="AN11" s="11">
        <v>28.0</v>
      </c>
      <c r="AO11" s="11">
        <v>7.0</v>
      </c>
      <c r="AP11" s="11">
        <v>9.0</v>
      </c>
      <c r="AQ11" s="11">
        <v>0.0</v>
      </c>
      <c r="AR11" s="11">
        <v>47.0</v>
      </c>
      <c r="AS11" s="11">
        <v>50.0</v>
      </c>
      <c r="AT11" s="11">
        <v>0.0</v>
      </c>
      <c r="AU11" s="11"/>
      <c r="AV11" s="11"/>
      <c r="AW11" s="11"/>
      <c r="AX11" s="10">
        <f t="shared" si="3"/>
        <v>811</v>
      </c>
    </row>
    <row r="12" ht="22.5" customHeight="1">
      <c r="A12" s="12">
        <v>45928.0</v>
      </c>
      <c r="B12" s="13">
        <v>69.0</v>
      </c>
      <c r="C12" s="13"/>
      <c r="D12" s="13"/>
      <c r="E12" s="13"/>
      <c r="F12" s="13"/>
      <c r="G12" s="13"/>
      <c r="H12" s="13"/>
      <c r="I12" s="13"/>
      <c r="J12" s="14"/>
      <c r="K12" s="14"/>
      <c r="L12" s="13"/>
      <c r="M12" s="13"/>
      <c r="N12" s="13"/>
      <c r="O12" s="13"/>
      <c r="P12" s="13"/>
      <c r="Q12" s="14"/>
      <c r="R12" s="13"/>
      <c r="S12" s="13"/>
      <c r="T12" s="13"/>
      <c r="U12" s="13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3">
        <f t="shared" si="3"/>
        <v>69</v>
      </c>
    </row>
    <row r="13" ht="22.5" customHeight="1">
      <c r="A13" s="9">
        <v>45922.0</v>
      </c>
      <c r="B13" s="10">
        <v>0.0</v>
      </c>
      <c r="C13" s="10">
        <v>54.0</v>
      </c>
      <c r="D13" s="10">
        <v>24.0</v>
      </c>
      <c r="E13" s="10">
        <v>46.0</v>
      </c>
      <c r="F13" s="10">
        <v>21.0</v>
      </c>
      <c r="G13" s="10">
        <v>25.0</v>
      </c>
      <c r="H13" s="10">
        <v>39.0</v>
      </c>
      <c r="I13" s="10">
        <v>16.0</v>
      </c>
      <c r="J13" s="11">
        <v>0.0</v>
      </c>
      <c r="K13" s="11">
        <v>7.0</v>
      </c>
      <c r="L13" s="10">
        <v>17.0</v>
      </c>
      <c r="M13" s="10">
        <v>98.0</v>
      </c>
      <c r="N13" s="10">
        <v>0.0</v>
      </c>
      <c r="O13" s="10">
        <v>0.0</v>
      </c>
      <c r="P13" s="10">
        <v>0.0</v>
      </c>
      <c r="Q13" s="11">
        <v>0.0</v>
      </c>
      <c r="R13" s="10">
        <v>15.0</v>
      </c>
      <c r="S13" s="10">
        <v>34.0</v>
      </c>
      <c r="T13" s="10">
        <v>3.0</v>
      </c>
      <c r="U13" s="10">
        <v>0.0</v>
      </c>
      <c r="V13" s="11">
        <v>14.0</v>
      </c>
      <c r="W13" s="11">
        <v>36.0</v>
      </c>
      <c r="X13" s="11">
        <v>2.0</v>
      </c>
      <c r="Y13" s="11">
        <v>47.0</v>
      </c>
      <c r="Z13" s="11">
        <v>10.0</v>
      </c>
      <c r="AA13" s="11">
        <v>7.0</v>
      </c>
      <c r="AB13" s="11">
        <v>0.0</v>
      </c>
      <c r="AC13" s="11">
        <v>17.0</v>
      </c>
      <c r="AD13" s="11">
        <v>0.0</v>
      </c>
      <c r="AE13" s="11">
        <v>18.0</v>
      </c>
      <c r="AF13" s="11">
        <v>1.0</v>
      </c>
      <c r="AG13" s="11">
        <v>7.0</v>
      </c>
      <c r="AH13" s="11">
        <v>35.0</v>
      </c>
      <c r="AI13" s="11">
        <v>4.0</v>
      </c>
      <c r="AJ13" s="11">
        <v>17.0</v>
      </c>
      <c r="AK13" s="11">
        <v>0.0</v>
      </c>
      <c r="AL13" s="11">
        <v>4.0</v>
      </c>
      <c r="AM13" s="11">
        <v>0.0</v>
      </c>
      <c r="AN13" s="11">
        <v>31.0</v>
      </c>
      <c r="AO13" s="11">
        <v>8.0</v>
      </c>
      <c r="AP13" s="11">
        <v>9.0</v>
      </c>
      <c r="AQ13" s="11">
        <v>0.0</v>
      </c>
      <c r="AR13" s="11">
        <v>47.0</v>
      </c>
      <c r="AS13" s="11">
        <v>50.0</v>
      </c>
      <c r="AT13" s="11">
        <v>0.0</v>
      </c>
      <c r="AU13" s="11"/>
      <c r="AV13" s="11"/>
      <c r="AW13" s="11"/>
      <c r="AX13" s="10">
        <f t="shared" si="3"/>
        <v>763</v>
      </c>
    </row>
    <row r="14" ht="22.5" customHeight="1">
      <c r="A14" s="12">
        <v>45921.0</v>
      </c>
      <c r="B14" s="13"/>
      <c r="C14" s="13">
        <v>54.0</v>
      </c>
      <c r="D14" s="13"/>
      <c r="E14" s="13"/>
      <c r="F14" s="13"/>
      <c r="G14" s="13"/>
      <c r="H14" s="13"/>
      <c r="I14" s="13"/>
      <c r="J14" s="14"/>
      <c r="K14" s="14"/>
      <c r="L14" s="13"/>
      <c r="M14" s="13"/>
      <c r="N14" s="13"/>
      <c r="O14" s="13"/>
      <c r="P14" s="13"/>
      <c r="Q14" s="14"/>
      <c r="R14" s="13"/>
      <c r="S14" s="13"/>
      <c r="T14" s="13"/>
      <c r="U14" s="13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3">
        <f t="shared" si="3"/>
        <v>54</v>
      </c>
    </row>
    <row r="15" ht="22.5" customHeight="1">
      <c r="A15" s="9">
        <v>45904.0</v>
      </c>
      <c r="B15" s="10">
        <v>12.0</v>
      </c>
      <c r="C15" s="10">
        <v>0.0</v>
      </c>
      <c r="D15" s="10">
        <v>27.0</v>
      </c>
      <c r="E15" s="10">
        <v>48.0</v>
      </c>
      <c r="F15" s="10">
        <v>27.0</v>
      </c>
      <c r="G15" s="10">
        <v>37.0</v>
      </c>
      <c r="H15" s="10">
        <v>41.0</v>
      </c>
      <c r="I15" s="10">
        <v>16.0</v>
      </c>
      <c r="J15" s="11">
        <v>0.0</v>
      </c>
      <c r="K15" s="11">
        <v>7.0</v>
      </c>
      <c r="L15" s="10">
        <v>21.0</v>
      </c>
      <c r="M15" s="10">
        <v>103.0</v>
      </c>
      <c r="N15" s="10">
        <v>0.0</v>
      </c>
      <c r="O15" s="10">
        <v>0.0</v>
      </c>
      <c r="P15" s="10">
        <v>0.0</v>
      </c>
      <c r="Q15" s="11">
        <v>0.0</v>
      </c>
      <c r="R15" s="10">
        <v>20.0</v>
      </c>
      <c r="S15" s="10">
        <v>36.0</v>
      </c>
      <c r="T15" s="10">
        <v>5.0</v>
      </c>
      <c r="U15" s="10">
        <v>0.0</v>
      </c>
      <c r="V15" s="11">
        <v>14.0</v>
      </c>
      <c r="W15" s="11">
        <v>38.0</v>
      </c>
      <c r="X15" s="11">
        <v>5.0</v>
      </c>
      <c r="Y15" s="11">
        <v>50.0</v>
      </c>
      <c r="Z15" s="11">
        <v>10.0</v>
      </c>
      <c r="AA15" s="11">
        <v>11.0</v>
      </c>
      <c r="AB15" s="11">
        <v>0.0</v>
      </c>
      <c r="AC15" s="11">
        <v>17.0</v>
      </c>
      <c r="AD15" s="11">
        <v>0.0</v>
      </c>
      <c r="AE15" s="11">
        <v>22.0</v>
      </c>
      <c r="AF15" s="11">
        <v>1.0</v>
      </c>
      <c r="AG15" s="11">
        <v>7.0</v>
      </c>
      <c r="AH15" s="11">
        <v>36.0</v>
      </c>
      <c r="AI15" s="11">
        <v>11.0</v>
      </c>
      <c r="AJ15" s="11">
        <v>17.0</v>
      </c>
      <c r="AK15" s="11">
        <v>0.0</v>
      </c>
      <c r="AL15" s="11">
        <v>6.0</v>
      </c>
      <c r="AM15" s="11">
        <v>0.0</v>
      </c>
      <c r="AN15" s="11">
        <v>31.0</v>
      </c>
      <c r="AO15" s="11">
        <v>15.0</v>
      </c>
      <c r="AP15" s="11">
        <v>10.0</v>
      </c>
      <c r="AQ15" s="11">
        <v>0.0</v>
      </c>
      <c r="AR15" s="11">
        <v>54.0</v>
      </c>
      <c r="AS15" s="11">
        <v>50.0</v>
      </c>
      <c r="AT15" s="11">
        <v>0.0</v>
      </c>
      <c r="AU15" s="11"/>
      <c r="AV15" s="11"/>
      <c r="AW15" s="11"/>
      <c r="AX15" s="10">
        <f t="shared" si="3"/>
        <v>805</v>
      </c>
    </row>
    <row r="16" ht="22.5" customHeight="1">
      <c r="A16" s="12">
        <v>45903.0</v>
      </c>
      <c r="B16" s="13"/>
      <c r="C16" s="13"/>
      <c r="D16" s="13"/>
      <c r="E16" s="13"/>
      <c r="F16" s="13"/>
      <c r="G16" s="13"/>
      <c r="H16" s="13"/>
      <c r="I16" s="13"/>
      <c r="J16" s="14"/>
      <c r="K16" s="14"/>
      <c r="L16" s="13"/>
      <c r="M16" s="13">
        <v>103.0</v>
      </c>
      <c r="N16" s="13"/>
      <c r="O16" s="13"/>
      <c r="P16" s="13"/>
      <c r="Q16" s="14"/>
      <c r="R16" s="13"/>
      <c r="S16" s="13"/>
      <c r="T16" s="13"/>
      <c r="U16" s="13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>
        <v>31.0</v>
      </c>
      <c r="AO16" s="14"/>
      <c r="AP16" s="14"/>
      <c r="AQ16" s="14"/>
      <c r="AR16" s="14"/>
      <c r="AS16" s="14"/>
      <c r="AT16" s="14"/>
      <c r="AU16" s="14"/>
      <c r="AV16" s="14"/>
      <c r="AW16" s="14"/>
      <c r="AX16" s="13">
        <f t="shared" si="3"/>
        <v>134</v>
      </c>
    </row>
    <row r="17" ht="22.5" customHeight="1">
      <c r="A17" s="9">
        <v>45887.0</v>
      </c>
      <c r="B17" s="10">
        <v>33.0</v>
      </c>
      <c r="C17" s="10">
        <v>2.0</v>
      </c>
      <c r="D17" s="10">
        <v>31.0</v>
      </c>
      <c r="E17" s="10">
        <v>51.0</v>
      </c>
      <c r="F17" s="10">
        <v>28.0</v>
      </c>
      <c r="G17" s="10">
        <v>37.0</v>
      </c>
      <c r="H17" s="10">
        <v>41.0</v>
      </c>
      <c r="I17" s="10">
        <v>31.0</v>
      </c>
      <c r="J17" s="11">
        <v>0.0</v>
      </c>
      <c r="K17" s="11">
        <v>7.0</v>
      </c>
      <c r="L17" s="10">
        <v>26.0</v>
      </c>
      <c r="M17" s="10">
        <v>0.0</v>
      </c>
      <c r="N17" s="10">
        <v>0.0</v>
      </c>
      <c r="O17" s="10">
        <v>0.0</v>
      </c>
      <c r="P17" s="10">
        <v>0.0</v>
      </c>
      <c r="Q17" s="11">
        <v>0.0</v>
      </c>
      <c r="R17" s="10">
        <v>24.0</v>
      </c>
      <c r="S17" s="10">
        <v>40.0</v>
      </c>
      <c r="T17" s="10">
        <v>6.0</v>
      </c>
      <c r="U17" s="10">
        <v>0.0</v>
      </c>
      <c r="V17" s="11">
        <v>14.0</v>
      </c>
      <c r="W17" s="11">
        <v>39.0</v>
      </c>
      <c r="X17" s="11">
        <v>8.0</v>
      </c>
      <c r="Y17" s="11">
        <v>51.0</v>
      </c>
      <c r="Z17" s="11">
        <v>10.0</v>
      </c>
      <c r="AA17" s="11">
        <v>14.0</v>
      </c>
      <c r="AB17" s="11">
        <v>0.0</v>
      </c>
      <c r="AC17" s="11">
        <v>17.0</v>
      </c>
      <c r="AD17" s="11">
        <v>0.0</v>
      </c>
      <c r="AE17" s="11">
        <v>24.0</v>
      </c>
      <c r="AF17" s="11">
        <v>1.0</v>
      </c>
      <c r="AG17" s="11">
        <v>11.0</v>
      </c>
      <c r="AH17" s="11">
        <v>36.0</v>
      </c>
      <c r="AI17" s="11">
        <v>11.0</v>
      </c>
      <c r="AJ17" s="11">
        <v>17.0</v>
      </c>
      <c r="AK17" s="11">
        <v>0.0</v>
      </c>
      <c r="AL17" s="11">
        <v>9.0</v>
      </c>
      <c r="AM17" s="11">
        <v>0.0</v>
      </c>
      <c r="AN17" s="11">
        <v>0.0</v>
      </c>
      <c r="AO17" s="11">
        <v>15.0</v>
      </c>
      <c r="AP17" s="11">
        <v>10.0</v>
      </c>
      <c r="AQ17" s="11">
        <v>0.0</v>
      </c>
      <c r="AR17" s="11">
        <v>59.0</v>
      </c>
      <c r="AS17" s="11">
        <v>50.0</v>
      </c>
      <c r="AT17" s="11">
        <v>0.0</v>
      </c>
      <c r="AU17" s="11"/>
      <c r="AV17" s="11"/>
      <c r="AW17" s="11"/>
      <c r="AX17" s="10">
        <f t="shared" si="3"/>
        <v>753</v>
      </c>
    </row>
    <row r="18" ht="22.5" customHeight="1">
      <c r="A18" s="12">
        <v>45886.0</v>
      </c>
      <c r="B18" s="13">
        <v>33.0</v>
      </c>
      <c r="C18" s="13"/>
      <c r="D18" s="13"/>
      <c r="E18" s="13"/>
      <c r="F18" s="13"/>
      <c r="G18" s="13"/>
      <c r="H18" s="13"/>
      <c r="I18" s="13">
        <v>31.0</v>
      </c>
      <c r="J18" s="14"/>
      <c r="K18" s="14"/>
      <c r="L18" s="13"/>
      <c r="M18" s="13"/>
      <c r="N18" s="13"/>
      <c r="O18" s="13"/>
      <c r="P18" s="13"/>
      <c r="Q18" s="14"/>
      <c r="R18" s="13"/>
      <c r="S18" s="13"/>
      <c r="T18" s="13"/>
      <c r="U18" s="13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>
        <v>59.0</v>
      </c>
      <c r="AS18" s="14"/>
      <c r="AT18" s="14"/>
      <c r="AU18" s="14"/>
      <c r="AV18" s="14"/>
      <c r="AW18" s="14"/>
      <c r="AX18" s="13">
        <f t="shared" si="3"/>
        <v>123</v>
      </c>
    </row>
    <row r="19" ht="22.5" customHeight="1">
      <c r="A19" s="9">
        <v>45859.0</v>
      </c>
      <c r="B19" s="10">
        <v>3.0</v>
      </c>
      <c r="C19" s="10">
        <v>8.0</v>
      </c>
      <c r="D19" s="10">
        <v>37.0</v>
      </c>
      <c r="E19" s="10">
        <v>52.0</v>
      </c>
      <c r="F19" s="10">
        <v>38.0</v>
      </c>
      <c r="G19" s="10">
        <v>46.0</v>
      </c>
      <c r="H19" s="10">
        <v>46.0</v>
      </c>
      <c r="I19" s="10">
        <v>0.0</v>
      </c>
      <c r="J19" s="11">
        <v>0.0</v>
      </c>
      <c r="K19" s="11">
        <v>10.0</v>
      </c>
      <c r="L19" s="10">
        <v>30.0</v>
      </c>
      <c r="M19" s="10">
        <v>7.0</v>
      </c>
      <c r="N19" s="10">
        <v>0.0</v>
      </c>
      <c r="O19" s="10">
        <v>11.0</v>
      </c>
      <c r="P19" s="10">
        <v>0.0</v>
      </c>
      <c r="Q19" s="11">
        <v>6.0</v>
      </c>
      <c r="R19" s="10">
        <v>26.0</v>
      </c>
      <c r="S19" s="10">
        <v>44.0</v>
      </c>
      <c r="T19" s="10">
        <v>6.0</v>
      </c>
      <c r="U19" s="10">
        <v>0.0</v>
      </c>
      <c r="V19" s="11">
        <v>15.0</v>
      </c>
      <c r="W19" s="11">
        <v>40.0</v>
      </c>
      <c r="X19" s="11">
        <v>8.0</v>
      </c>
      <c r="Y19" s="11">
        <v>58.0</v>
      </c>
      <c r="Z19" s="11">
        <v>10.0</v>
      </c>
      <c r="AA19" s="11">
        <v>14.0</v>
      </c>
      <c r="AB19" s="11">
        <v>0.0</v>
      </c>
      <c r="AC19" s="11">
        <v>17.0</v>
      </c>
      <c r="AD19" s="11">
        <v>0.0</v>
      </c>
      <c r="AE19" s="11">
        <v>32.0</v>
      </c>
      <c r="AF19" s="11">
        <v>1.0</v>
      </c>
      <c r="AG19" s="11">
        <v>11.0</v>
      </c>
      <c r="AH19" s="11">
        <v>36.0</v>
      </c>
      <c r="AI19" s="11">
        <v>13.0</v>
      </c>
      <c r="AJ19" s="11">
        <v>17.0</v>
      </c>
      <c r="AK19" s="11">
        <v>0.0</v>
      </c>
      <c r="AL19" s="11">
        <v>11.0</v>
      </c>
      <c r="AM19" s="11">
        <v>8.0</v>
      </c>
      <c r="AN19" s="11">
        <v>4.0</v>
      </c>
      <c r="AO19" s="11">
        <v>21.0</v>
      </c>
      <c r="AP19" s="11">
        <v>15.0</v>
      </c>
      <c r="AQ19" s="11">
        <v>0.0</v>
      </c>
      <c r="AR19" s="11"/>
      <c r="AS19" s="11">
        <v>50.0</v>
      </c>
      <c r="AT19" s="11">
        <v>6.0</v>
      </c>
      <c r="AU19" s="11"/>
      <c r="AV19" s="11"/>
      <c r="AW19" s="11"/>
      <c r="AX19" s="10">
        <f t="shared" si="3"/>
        <v>757</v>
      </c>
    </row>
    <row r="20" ht="22.5" customHeight="1">
      <c r="A20" s="12">
        <v>45858.0</v>
      </c>
      <c r="B20" s="13"/>
      <c r="C20" s="13"/>
      <c r="D20" s="13">
        <v>37.0</v>
      </c>
      <c r="E20" s="13"/>
      <c r="F20" s="13"/>
      <c r="G20" s="13"/>
      <c r="H20" s="13"/>
      <c r="I20" s="13"/>
      <c r="J20" s="14"/>
      <c r="K20" s="14"/>
      <c r="L20" s="13"/>
      <c r="M20" s="13"/>
      <c r="N20" s="13"/>
      <c r="O20" s="13"/>
      <c r="P20" s="13"/>
      <c r="Q20" s="14"/>
      <c r="R20" s="13"/>
      <c r="S20" s="13"/>
      <c r="T20" s="13"/>
      <c r="U20" s="13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3">
        <f t="shared" si="3"/>
        <v>37</v>
      </c>
    </row>
    <row r="21" ht="22.5" customHeight="1">
      <c r="A21" s="9">
        <v>45847.0</v>
      </c>
      <c r="B21" s="10">
        <v>18.0</v>
      </c>
      <c r="C21" s="10">
        <v>9.0</v>
      </c>
      <c r="D21" s="10">
        <v>0.0</v>
      </c>
      <c r="E21" s="10">
        <v>52.0</v>
      </c>
      <c r="F21" s="10">
        <v>40.0</v>
      </c>
      <c r="G21" s="10">
        <v>47.0</v>
      </c>
      <c r="H21" s="10">
        <v>46.0</v>
      </c>
      <c r="I21" s="10">
        <v>0.0</v>
      </c>
      <c r="J21" s="11">
        <v>0.0</v>
      </c>
      <c r="K21" s="11">
        <v>10.0</v>
      </c>
      <c r="L21" s="10">
        <v>33.0</v>
      </c>
      <c r="M21" s="10">
        <v>15.0</v>
      </c>
      <c r="N21" s="10">
        <v>0.0</v>
      </c>
      <c r="O21" s="10">
        <v>15.0</v>
      </c>
      <c r="P21" s="10">
        <v>0.0</v>
      </c>
      <c r="Q21" s="11">
        <v>9.0</v>
      </c>
      <c r="R21" s="10">
        <v>26.0</v>
      </c>
      <c r="S21" s="10">
        <v>45.0</v>
      </c>
      <c r="T21" s="10">
        <v>6.0</v>
      </c>
      <c r="U21" s="10">
        <v>0.0</v>
      </c>
      <c r="V21" s="11">
        <v>15.0</v>
      </c>
      <c r="W21" s="11">
        <v>41.0</v>
      </c>
      <c r="X21" s="11">
        <v>8.0</v>
      </c>
      <c r="Y21" s="11">
        <v>60.0</v>
      </c>
      <c r="Z21" s="11">
        <v>10.0</v>
      </c>
      <c r="AA21" s="11">
        <v>15.0</v>
      </c>
      <c r="AB21" s="11">
        <v>0.0</v>
      </c>
      <c r="AC21" s="11">
        <v>17.0</v>
      </c>
      <c r="AD21" s="11">
        <v>0.0</v>
      </c>
      <c r="AE21" s="11">
        <v>34.0</v>
      </c>
      <c r="AF21" s="11">
        <v>1.0</v>
      </c>
      <c r="AG21" s="11">
        <v>11.0</v>
      </c>
      <c r="AH21" s="11">
        <v>36.0</v>
      </c>
      <c r="AI21" s="11">
        <v>13.0</v>
      </c>
      <c r="AJ21" s="11">
        <v>17.0</v>
      </c>
      <c r="AK21" s="11">
        <v>0.0</v>
      </c>
      <c r="AL21" s="11">
        <v>13.0</v>
      </c>
      <c r="AM21" s="11">
        <v>11.0</v>
      </c>
      <c r="AN21" s="11">
        <v>6.0</v>
      </c>
      <c r="AO21" s="11">
        <v>23.0</v>
      </c>
      <c r="AP21" s="11">
        <v>17.0</v>
      </c>
      <c r="AQ21" s="11">
        <v>1.0</v>
      </c>
      <c r="AR21" s="11"/>
      <c r="AS21" s="11">
        <v>50.0</v>
      </c>
      <c r="AT21" s="11">
        <v>11.0</v>
      </c>
      <c r="AU21" s="11"/>
      <c r="AV21" s="11"/>
      <c r="AW21" s="11"/>
      <c r="AX21" s="10">
        <f t="shared" si="3"/>
        <v>781</v>
      </c>
    </row>
    <row r="22" ht="22.5" customHeight="1">
      <c r="A22" s="12">
        <v>45846.0</v>
      </c>
      <c r="B22" s="15"/>
      <c r="C22" s="13"/>
      <c r="D22" s="15"/>
      <c r="E22" s="15"/>
      <c r="F22" s="15"/>
      <c r="G22" s="15"/>
      <c r="H22" s="13"/>
      <c r="I22" s="15"/>
      <c r="J22" s="16"/>
      <c r="K22" s="16"/>
      <c r="L22" s="13">
        <v>34.0</v>
      </c>
      <c r="M22" s="15"/>
      <c r="N22" s="15"/>
      <c r="O22" s="15"/>
      <c r="P22" s="15"/>
      <c r="Q22" s="16"/>
      <c r="R22" s="15"/>
      <c r="S22" s="15"/>
      <c r="T22" s="15"/>
      <c r="U22" s="15"/>
      <c r="V22" s="16"/>
      <c r="W22" s="16"/>
      <c r="X22" s="14">
        <v>8.0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4"/>
      <c r="AM22" s="14"/>
      <c r="AN22" s="14"/>
      <c r="AO22" s="14"/>
      <c r="AP22" s="14"/>
      <c r="AQ22" s="14"/>
      <c r="AR22" s="14"/>
      <c r="AS22" s="14"/>
      <c r="AT22" s="14">
        <v>11.0</v>
      </c>
      <c r="AU22" s="14"/>
      <c r="AV22" s="14"/>
      <c r="AW22" s="14"/>
      <c r="AX22" s="13">
        <f t="shared" si="3"/>
        <v>53</v>
      </c>
    </row>
    <row r="23" ht="22.5" customHeight="1">
      <c r="A23" s="9">
        <v>45839.0</v>
      </c>
      <c r="B23" s="10">
        <v>26.0</v>
      </c>
      <c r="C23" s="10">
        <v>9.0</v>
      </c>
      <c r="D23" s="10">
        <v>0.0</v>
      </c>
      <c r="E23" s="10">
        <v>52.0</v>
      </c>
      <c r="F23" s="10">
        <v>42.0</v>
      </c>
      <c r="G23" s="10">
        <v>51.0</v>
      </c>
      <c r="H23" s="10">
        <v>49.0</v>
      </c>
      <c r="I23" s="10">
        <v>0.0</v>
      </c>
      <c r="J23" s="11">
        <v>0.0</v>
      </c>
      <c r="K23" s="11">
        <v>10.0</v>
      </c>
      <c r="L23" s="10">
        <v>0.0</v>
      </c>
      <c r="M23" s="10">
        <v>21.0</v>
      </c>
      <c r="N23" s="10">
        <v>0.0</v>
      </c>
      <c r="O23" s="10">
        <v>17.0</v>
      </c>
      <c r="P23" s="10">
        <v>0.0</v>
      </c>
      <c r="Q23" s="11">
        <v>11.0</v>
      </c>
      <c r="R23" s="10">
        <v>35.0</v>
      </c>
      <c r="S23" s="10">
        <v>47.0</v>
      </c>
      <c r="T23" s="10">
        <v>6.0</v>
      </c>
      <c r="U23" s="10">
        <v>0.0</v>
      </c>
      <c r="V23" s="11">
        <v>16.0</v>
      </c>
      <c r="W23" s="11">
        <v>41.0</v>
      </c>
      <c r="X23" s="11"/>
      <c r="Y23" s="11">
        <v>61.0</v>
      </c>
      <c r="Z23" s="11">
        <v>10.0</v>
      </c>
      <c r="AA23" s="11">
        <v>20.0</v>
      </c>
      <c r="AB23" s="11">
        <v>0.0</v>
      </c>
      <c r="AC23" s="11">
        <v>17.0</v>
      </c>
      <c r="AD23" s="11">
        <v>0.0</v>
      </c>
      <c r="AE23" s="11">
        <v>39.0</v>
      </c>
      <c r="AF23" s="11">
        <v>1.0</v>
      </c>
      <c r="AG23" s="11">
        <v>12.0</v>
      </c>
      <c r="AH23" s="11">
        <v>36.0</v>
      </c>
      <c r="AI23" s="11">
        <v>15.0</v>
      </c>
      <c r="AJ23" s="11">
        <v>20.0</v>
      </c>
      <c r="AK23" s="11">
        <v>0.0</v>
      </c>
      <c r="AL23" s="11">
        <v>14.0</v>
      </c>
      <c r="AM23" s="11">
        <v>14.0</v>
      </c>
      <c r="AN23" s="11">
        <v>6.0</v>
      </c>
      <c r="AO23" s="11">
        <v>24.0</v>
      </c>
      <c r="AP23" s="11">
        <v>18.0</v>
      </c>
      <c r="AQ23" s="11">
        <v>4.0</v>
      </c>
      <c r="AR23" s="11"/>
      <c r="AS23" s="11">
        <v>51.0</v>
      </c>
      <c r="AT23" s="11">
        <v>0.0</v>
      </c>
      <c r="AU23" s="11"/>
      <c r="AV23" s="11"/>
      <c r="AW23" s="11"/>
      <c r="AX23" s="10">
        <f t="shared" si="3"/>
        <v>795</v>
      </c>
    </row>
    <row r="24" ht="22.5" customHeight="1">
      <c r="A24" s="9">
        <v>45832.0</v>
      </c>
      <c r="B24" s="10">
        <v>30.0</v>
      </c>
      <c r="C24" s="10">
        <v>12.0</v>
      </c>
      <c r="D24" s="10">
        <v>0.0</v>
      </c>
      <c r="E24" s="10">
        <v>56.0</v>
      </c>
      <c r="F24" s="10">
        <v>42.0</v>
      </c>
      <c r="G24" s="10">
        <v>53.0</v>
      </c>
      <c r="H24" s="10">
        <v>51.0</v>
      </c>
      <c r="I24" s="10">
        <v>0.0</v>
      </c>
      <c r="J24" s="11">
        <v>0.0</v>
      </c>
      <c r="K24" s="11">
        <v>12.0</v>
      </c>
      <c r="L24" s="10">
        <v>0.0</v>
      </c>
      <c r="M24" s="10">
        <v>23.0</v>
      </c>
      <c r="N24" s="10">
        <v>0.0</v>
      </c>
      <c r="O24" s="10">
        <v>19.0</v>
      </c>
      <c r="P24" s="10">
        <v>0.0</v>
      </c>
      <c r="Q24" s="11">
        <v>12.0</v>
      </c>
      <c r="R24" s="10">
        <v>39.0</v>
      </c>
      <c r="S24" s="10">
        <v>48.0</v>
      </c>
      <c r="T24" s="10">
        <v>6.0</v>
      </c>
      <c r="U24" s="10">
        <v>0.0</v>
      </c>
      <c r="V24" s="11">
        <v>16.0</v>
      </c>
      <c r="W24" s="11">
        <v>41.0</v>
      </c>
      <c r="X24" s="11"/>
      <c r="Y24" s="11">
        <v>63.0</v>
      </c>
      <c r="Z24" s="11">
        <v>10.0</v>
      </c>
      <c r="AA24" s="11">
        <v>24.0</v>
      </c>
      <c r="AB24" s="11">
        <v>0.0</v>
      </c>
      <c r="AC24" s="11">
        <v>17.0</v>
      </c>
      <c r="AD24" s="11">
        <v>0.0</v>
      </c>
      <c r="AE24" s="11">
        <v>39.0</v>
      </c>
      <c r="AF24" s="11">
        <v>1.0</v>
      </c>
      <c r="AG24" s="11">
        <v>12.0</v>
      </c>
      <c r="AH24" s="11">
        <v>38.0</v>
      </c>
      <c r="AI24" s="11">
        <v>17.0</v>
      </c>
      <c r="AJ24" s="11">
        <v>21.0</v>
      </c>
      <c r="AK24" s="11">
        <v>0.0</v>
      </c>
      <c r="AL24" s="11">
        <v>14.0</v>
      </c>
      <c r="AM24" s="11">
        <v>16.0</v>
      </c>
      <c r="AN24" s="11">
        <v>7.0</v>
      </c>
      <c r="AO24" s="11">
        <v>24.0</v>
      </c>
      <c r="AP24" s="11">
        <v>18.0</v>
      </c>
      <c r="AQ24" s="11">
        <v>4.0</v>
      </c>
      <c r="AR24" s="11"/>
      <c r="AS24" s="11">
        <v>51.0</v>
      </c>
      <c r="AT24" s="11">
        <v>0.0</v>
      </c>
      <c r="AU24" s="11"/>
      <c r="AV24" s="11"/>
      <c r="AW24" s="11"/>
      <c r="AX24" s="10">
        <f t="shared" si="3"/>
        <v>836</v>
      </c>
    </row>
    <row r="25" ht="22.5" customHeight="1">
      <c r="A25" s="12">
        <v>45828.0</v>
      </c>
      <c r="B25" s="15"/>
      <c r="C25" s="13"/>
      <c r="D25" s="15"/>
      <c r="E25" s="15"/>
      <c r="F25" s="15"/>
      <c r="G25" s="15"/>
      <c r="H25" s="13">
        <v>52.0</v>
      </c>
      <c r="I25" s="15"/>
      <c r="J25" s="16"/>
      <c r="K25" s="16"/>
      <c r="L25" s="15"/>
      <c r="M25" s="15"/>
      <c r="N25" s="15"/>
      <c r="O25" s="15"/>
      <c r="P25" s="15"/>
      <c r="Q25" s="16"/>
      <c r="R25" s="15"/>
      <c r="S25" s="15"/>
      <c r="T25" s="15"/>
      <c r="U25" s="15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3">
        <f>SUM(B25:AS25)</f>
        <v>52</v>
      </c>
    </row>
    <row r="26" ht="22.5" customHeight="1">
      <c r="A26" s="9">
        <v>45824.0</v>
      </c>
      <c r="B26" s="10">
        <v>42.0</v>
      </c>
      <c r="C26" s="10">
        <v>14.0</v>
      </c>
      <c r="D26" s="10">
        <v>0.0</v>
      </c>
      <c r="E26" s="10">
        <v>56.0</v>
      </c>
      <c r="F26" s="10">
        <v>43.0</v>
      </c>
      <c r="G26" s="10">
        <v>55.0</v>
      </c>
      <c r="H26" s="10">
        <v>0.0</v>
      </c>
      <c r="I26" s="10">
        <v>0.0</v>
      </c>
      <c r="J26" s="11">
        <v>0.0</v>
      </c>
      <c r="K26" s="11">
        <v>12.0</v>
      </c>
      <c r="L26" s="10">
        <v>2.0</v>
      </c>
      <c r="M26" s="10">
        <v>32.0</v>
      </c>
      <c r="N26" s="10">
        <v>0.0</v>
      </c>
      <c r="O26" s="10">
        <v>20.0</v>
      </c>
      <c r="P26" s="10">
        <v>0.0</v>
      </c>
      <c r="Q26" s="11">
        <v>12.0</v>
      </c>
      <c r="R26" s="10">
        <v>39.0</v>
      </c>
      <c r="S26" s="10">
        <v>49.0</v>
      </c>
      <c r="T26" s="10">
        <v>6.0</v>
      </c>
      <c r="U26" s="10">
        <v>0.0</v>
      </c>
      <c r="V26" s="11">
        <v>16.0</v>
      </c>
      <c r="W26" s="11">
        <v>41.0</v>
      </c>
      <c r="X26" s="11"/>
      <c r="Y26" s="11">
        <v>63.0</v>
      </c>
      <c r="Z26" s="11">
        <v>10.0</v>
      </c>
      <c r="AA26" s="11">
        <v>25.0</v>
      </c>
      <c r="AB26" s="11">
        <v>0.0</v>
      </c>
      <c r="AC26" s="11">
        <v>17.0</v>
      </c>
      <c r="AD26" s="11">
        <v>0.0</v>
      </c>
      <c r="AE26" s="11">
        <v>39.0</v>
      </c>
      <c r="AF26" s="11">
        <v>1.0</v>
      </c>
      <c r="AG26" s="11">
        <v>12.0</v>
      </c>
      <c r="AH26" s="11">
        <v>38.0</v>
      </c>
      <c r="AI26" s="11">
        <v>18.0</v>
      </c>
      <c r="AJ26" s="11">
        <v>21.0</v>
      </c>
      <c r="AK26" s="11">
        <v>0.0</v>
      </c>
      <c r="AL26" s="11">
        <v>14.0</v>
      </c>
      <c r="AM26" s="11">
        <v>17.0</v>
      </c>
      <c r="AN26" s="11">
        <v>7.0</v>
      </c>
      <c r="AO26" s="11">
        <v>25.0</v>
      </c>
      <c r="AP26" s="11">
        <v>20.0</v>
      </c>
      <c r="AQ26" s="11">
        <v>7.0</v>
      </c>
      <c r="AR26" s="11"/>
      <c r="AS26" s="11">
        <v>51.0</v>
      </c>
      <c r="AT26" s="11">
        <v>0.0</v>
      </c>
      <c r="AU26" s="11"/>
      <c r="AV26" s="11"/>
      <c r="AW26" s="11"/>
      <c r="AX26" s="10">
        <f>SUM(B26:AT26)</f>
        <v>824</v>
      </c>
    </row>
    <row r="27" ht="22.5" customHeight="1">
      <c r="A27" s="12">
        <v>45822.0</v>
      </c>
      <c r="B27" s="15"/>
      <c r="C27" s="13"/>
      <c r="D27" s="15"/>
      <c r="E27" s="15"/>
      <c r="F27" s="15"/>
      <c r="G27" s="15"/>
      <c r="H27" s="15"/>
      <c r="I27" s="15"/>
      <c r="J27" s="16"/>
      <c r="K27" s="16"/>
      <c r="L27" s="15"/>
      <c r="M27" s="15"/>
      <c r="N27" s="15"/>
      <c r="O27" s="15"/>
      <c r="P27" s="15"/>
      <c r="Q27" s="16"/>
      <c r="R27" s="15"/>
      <c r="S27" s="15"/>
      <c r="T27" s="15"/>
      <c r="U27" s="15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4"/>
      <c r="AM27" s="14"/>
      <c r="AN27" s="14"/>
      <c r="AO27" s="14"/>
      <c r="AP27" s="14"/>
      <c r="AQ27" s="14"/>
      <c r="AR27" s="14"/>
      <c r="AS27" s="14">
        <v>54.0</v>
      </c>
      <c r="AT27" s="14"/>
      <c r="AU27" s="14"/>
      <c r="AV27" s="14"/>
      <c r="AW27" s="14"/>
      <c r="AX27" s="13">
        <f>SUM(B27:AS27)</f>
        <v>54</v>
      </c>
    </row>
    <row r="28" ht="22.5" customHeight="1">
      <c r="A28" s="9">
        <v>45817.0</v>
      </c>
      <c r="B28" s="10">
        <v>46.0</v>
      </c>
      <c r="C28" s="10">
        <v>15.0</v>
      </c>
      <c r="D28" s="10">
        <v>3.0</v>
      </c>
      <c r="E28" s="10">
        <v>56.0</v>
      </c>
      <c r="F28" s="10">
        <v>45.0</v>
      </c>
      <c r="G28" s="10">
        <v>54.0</v>
      </c>
      <c r="H28" s="10">
        <v>0.0</v>
      </c>
      <c r="I28" s="10">
        <v>0.0</v>
      </c>
      <c r="J28" s="11">
        <v>2.0</v>
      </c>
      <c r="K28" s="11">
        <v>12.0</v>
      </c>
      <c r="L28" s="10">
        <v>4.0</v>
      </c>
      <c r="M28" s="10">
        <v>40.0</v>
      </c>
      <c r="N28" s="10">
        <v>0.0</v>
      </c>
      <c r="O28" s="10">
        <v>22.0</v>
      </c>
      <c r="P28" s="10">
        <v>0.0</v>
      </c>
      <c r="Q28" s="11">
        <v>16.0</v>
      </c>
      <c r="R28" s="10">
        <v>40.0</v>
      </c>
      <c r="S28" s="10">
        <v>49.0</v>
      </c>
      <c r="T28" s="10">
        <v>6.0</v>
      </c>
      <c r="U28" s="10">
        <v>0.0</v>
      </c>
      <c r="V28" s="11">
        <v>16.0</v>
      </c>
      <c r="W28" s="11">
        <v>41.0</v>
      </c>
      <c r="X28" s="11"/>
      <c r="Y28" s="11">
        <v>65.0</v>
      </c>
      <c r="Z28" s="11">
        <v>10.0</v>
      </c>
      <c r="AA28" s="11">
        <v>26.0</v>
      </c>
      <c r="AB28" s="11">
        <v>0.0</v>
      </c>
      <c r="AC28" s="11">
        <v>17.0</v>
      </c>
      <c r="AD28" s="11">
        <v>0.0</v>
      </c>
      <c r="AE28" s="11">
        <v>39.0</v>
      </c>
      <c r="AF28" s="11">
        <v>1.0</v>
      </c>
      <c r="AG28" s="11">
        <v>12.0</v>
      </c>
      <c r="AH28" s="11">
        <v>38.0</v>
      </c>
      <c r="AI28" s="11">
        <v>19.0</v>
      </c>
      <c r="AJ28" s="11">
        <v>21.0</v>
      </c>
      <c r="AK28" s="11">
        <v>1.0</v>
      </c>
      <c r="AL28" s="11">
        <v>15.0</v>
      </c>
      <c r="AM28" s="11">
        <v>17.0</v>
      </c>
      <c r="AN28" s="11">
        <v>8.0</v>
      </c>
      <c r="AO28" s="11">
        <v>25.0</v>
      </c>
      <c r="AP28" s="11">
        <v>21.0</v>
      </c>
      <c r="AQ28" s="11">
        <v>8.0</v>
      </c>
      <c r="AR28" s="11"/>
      <c r="AS28" s="11">
        <v>0.0</v>
      </c>
      <c r="AT28" s="11">
        <v>0.0</v>
      </c>
      <c r="AU28" s="11"/>
      <c r="AV28" s="11"/>
      <c r="AW28" s="11"/>
      <c r="AX28" s="10">
        <f t="shared" ref="AX28:AX126" si="4">SUM(B28:AQ28)</f>
        <v>810</v>
      </c>
    </row>
    <row r="29" ht="22.5" customHeight="1">
      <c r="A29" s="9">
        <v>45810.0</v>
      </c>
      <c r="B29" s="10">
        <v>52.0</v>
      </c>
      <c r="C29" s="10">
        <v>17.0</v>
      </c>
      <c r="D29" s="10">
        <v>3.0</v>
      </c>
      <c r="E29" s="10">
        <v>56.0</v>
      </c>
      <c r="F29" s="10">
        <v>50.0</v>
      </c>
      <c r="G29" s="10">
        <v>57.0</v>
      </c>
      <c r="H29" s="10">
        <v>0.0</v>
      </c>
      <c r="I29" s="10">
        <v>0.0</v>
      </c>
      <c r="J29" s="11">
        <v>2.0</v>
      </c>
      <c r="K29" s="11">
        <v>12.0</v>
      </c>
      <c r="L29" s="10">
        <v>5.0</v>
      </c>
      <c r="M29" s="10">
        <v>41.0</v>
      </c>
      <c r="N29" s="10">
        <v>0.0</v>
      </c>
      <c r="O29" s="10">
        <v>24.0</v>
      </c>
      <c r="P29" s="10">
        <v>0.0</v>
      </c>
      <c r="Q29" s="11">
        <v>20.0</v>
      </c>
      <c r="R29" s="10">
        <v>41.0</v>
      </c>
      <c r="S29" s="10">
        <v>51.0</v>
      </c>
      <c r="T29" s="10">
        <v>6.0</v>
      </c>
      <c r="U29" s="10">
        <v>0.0</v>
      </c>
      <c r="V29" s="11">
        <v>16.0</v>
      </c>
      <c r="W29" s="11">
        <v>41.0</v>
      </c>
      <c r="X29" s="11"/>
      <c r="Y29" s="11">
        <v>66.0</v>
      </c>
      <c r="Z29" s="11">
        <v>10.0</v>
      </c>
      <c r="AA29" s="11">
        <v>26.0</v>
      </c>
      <c r="AB29" s="11">
        <v>0.0</v>
      </c>
      <c r="AC29" s="11">
        <v>17.0</v>
      </c>
      <c r="AD29" s="11">
        <v>0.0</v>
      </c>
      <c r="AE29" s="11">
        <v>39.0</v>
      </c>
      <c r="AF29" s="11">
        <v>1.0</v>
      </c>
      <c r="AG29" s="11">
        <v>12.0</v>
      </c>
      <c r="AH29" s="11">
        <v>38.0</v>
      </c>
      <c r="AI29" s="11">
        <v>19.0</v>
      </c>
      <c r="AJ29" s="11">
        <v>21.0</v>
      </c>
      <c r="AK29" s="11">
        <v>1.0</v>
      </c>
      <c r="AL29" s="11">
        <v>0.0</v>
      </c>
      <c r="AM29" s="11">
        <v>18.0</v>
      </c>
      <c r="AN29" s="11">
        <v>9.0</v>
      </c>
      <c r="AO29" s="11">
        <v>26.0</v>
      </c>
      <c r="AP29" s="11">
        <v>21.0</v>
      </c>
      <c r="AQ29" s="11">
        <v>9.0</v>
      </c>
      <c r="AR29" s="11"/>
      <c r="AS29" s="11"/>
      <c r="AT29" s="11"/>
      <c r="AU29" s="11"/>
      <c r="AV29" s="11"/>
      <c r="AW29" s="11"/>
      <c r="AX29" s="10">
        <f t="shared" si="4"/>
        <v>827</v>
      </c>
    </row>
    <row r="30" ht="22.5" customHeight="1">
      <c r="A30" s="9">
        <v>45803.0</v>
      </c>
      <c r="B30" s="10">
        <v>62.0</v>
      </c>
      <c r="C30" s="10">
        <v>18.0</v>
      </c>
      <c r="D30" s="10">
        <v>5.0</v>
      </c>
      <c r="E30" s="10">
        <v>56.0</v>
      </c>
      <c r="F30" s="10">
        <v>51.0</v>
      </c>
      <c r="G30" s="10">
        <v>57.0</v>
      </c>
      <c r="H30" s="10">
        <v>0.0</v>
      </c>
      <c r="I30" s="10">
        <v>0.0</v>
      </c>
      <c r="J30" s="11">
        <v>2.0</v>
      </c>
      <c r="K30" s="11">
        <v>12.0</v>
      </c>
      <c r="L30" s="10">
        <v>6.0</v>
      </c>
      <c r="M30" s="10">
        <v>42.0</v>
      </c>
      <c r="N30" s="10">
        <v>0.0</v>
      </c>
      <c r="O30" s="10">
        <v>26.0</v>
      </c>
      <c r="P30" s="10">
        <v>0.0</v>
      </c>
      <c r="Q30" s="11">
        <v>21.0</v>
      </c>
      <c r="R30" s="10">
        <v>44.0</v>
      </c>
      <c r="S30" s="10">
        <v>51.0</v>
      </c>
      <c r="T30" s="10">
        <v>6.0</v>
      </c>
      <c r="U30" s="10">
        <v>0.0</v>
      </c>
      <c r="V30" s="11">
        <v>16.0</v>
      </c>
      <c r="W30" s="11">
        <v>42.0</v>
      </c>
      <c r="X30" s="11"/>
      <c r="Y30" s="11">
        <v>67.0</v>
      </c>
      <c r="Z30" s="11">
        <v>10.0</v>
      </c>
      <c r="AA30" s="11">
        <v>26.0</v>
      </c>
      <c r="AB30" s="11">
        <v>0.0</v>
      </c>
      <c r="AC30" s="11">
        <v>17.0</v>
      </c>
      <c r="AD30" s="11">
        <v>0.0</v>
      </c>
      <c r="AE30" s="11">
        <v>39.0</v>
      </c>
      <c r="AF30" s="11">
        <v>2.0</v>
      </c>
      <c r="AG30" s="11">
        <v>12.0</v>
      </c>
      <c r="AH30" s="11">
        <v>38.0</v>
      </c>
      <c r="AI30" s="11">
        <v>20.0</v>
      </c>
      <c r="AJ30" s="11">
        <v>21.0</v>
      </c>
      <c r="AK30" s="11">
        <v>4.0</v>
      </c>
      <c r="AL30" s="11">
        <v>2.0</v>
      </c>
      <c r="AM30" s="11">
        <v>20.0</v>
      </c>
      <c r="AN30" s="11">
        <v>10.0</v>
      </c>
      <c r="AO30" s="11">
        <v>26.0</v>
      </c>
      <c r="AP30" s="11">
        <v>21.0</v>
      </c>
      <c r="AQ30" s="11">
        <v>9.0</v>
      </c>
      <c r="AR30" s="11"/>
      <c r="AS30" s="11"/>
      <c r="AT30" s="11"/>
      <c r="AU30" s="11"/>
      <c r="AV30" s="11"/>
      <c r="AW30" s="11"/>
      <c r="AX30" s="10">
        <f t="shared" si="4"/>
        <v>861</v>
      </c>
    </row>
    <row r="31" ht="22.5" customHeight="1">
      <c r="A31" s="6">
        <v>45800.0</v>
      </c>
      <c r="B31" s="7">
        <v>64.0</v>
      </c>
      <c r="C31" s="7"/>
      <c r="D31" s="7"/>
      <c r="E31" s="7"/>
      <c r="F31" s="7"/>
      <c r="G31" s="7"/>
      <c r="H31" s="7"/>
      <c r="I31" s="7"/>
      <c r="J31" s="8"/>
      <c r="K31" s="8"/>
      <c r="L31" s="7"/>
      <c r="M31" s="7"/>
      <c r="N31" s="7"/>
      <c r="O31" s="7"/>
      <c r="P31" s="7"/>
      <c r="Q31" s="8"/>
      <c r="R31" s="7"/>
      <c r="S31" s="7"/>
      <c r="T31" s="7"/>
      <c r="U31" s="7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7">
        <f t="shared" si="4"/>
        <v>64</v>
      </c>
    </row>
    <row r="32" ht="22.5" customHeight="1">
      <c r="A32" s="9">
        <v>45796.0</v>
      </c>
      <c r="B32" s="10">
        <v>0.0</v>
      </c>
      <c r="C32" s="10">
        <v>20.0</v>
      </c>
      <c r="D32" s="10">
        <v>7.0</v>
      </c>
      <c r="E32" s="10">
        <v>56.0</v>
      </c>
      <c r="F32" s="10">
        <v>53.0</v>
      </c>
      <c r="G32" s="10">
        <v>57.0</v>
      </c>
      <c r="H32" s="10">
        <v>0.0</v>
      </c>
      <c r="I32" s="10">
        <v>0.0</v>
      </c>
      <c r="J32" s="11">
        <v>2.0</v>
      </c>
      <c r="K32" s="11">
        <v>12.0</v>
      </c>
      <c r="L32" s="10">
        <v>9.0</v>
      </c>
      <c r="M32" s="10">
        <v>44.0</v>
      </c>
      <c r="N32" s="10">
        <v>0.0</v>
      </c>
      <c r="O32" s="10">
        <v>27.0</v>
      </c>
      <c r="P32" s="10">
        <v>0.0</v>
      </c>
      <c r="Q32" s="11">
        <v>23.0</v>
      </c>
      <c r="R32" s="10">
        <v>44.0</v>
      </c>
      <c r="S32" s="10">
        <v>52.0</v>
      </c>
      <c r="T32" s="10">
        <v>6.0</v>
      </c>
      <c r="U32" s="10">
        <v>0.0</v>
      </c>
      <c r="V32" s="11">
        <v>16.0</v>
      </c>
      <c r="W32" s="11">
        <v>43.0</v>
      </c>
      <c r="X32" s="11"/>
      <c r="Y32" s="11">
        <v>67.0</v>
      </c>
      <c r="Z32" s="11">
        <v>10.0</v>
      </c>
      <c r="AA32" s="11">
        <v>27.0</v>
      </c>
      <c r="AB32" s="11">
        <v>0.0</v>
      </c>
      <c r="AC32" s="11">
        <v>17.0</v>
      </c>
      <c r="AD32" s="11">
        <v>0.0</v>
      </c>
      <c r="AE32" s="11">
        <v>42.0</v>
      </c>
      <c r="AF32" s="11">
        <v>2.0</v>
      </c>
      <c r="AG32" s="11">
        <v>12.0</v>
      </c>
      <c r="AH32" s="11">
        <v>38.0</v>
      </c>
      <c r="AI32" s="11">
        <v>20.0</v>
      </c>
      <c r="AJ32" s="11">
        <v>21.0</v>
      </c>
      <c r="AK32" s="11">
        <v>9.0</v>
      </c>
      <c r="AL32" s="11">
        <v>8.0</v>
      </c>
      <c r="AM32" s="11">
        <v>22.0</v>
      </c>
      <c r="AN32" s="11">
        <v>11.0</v>
      </c>
      <c r="AO32" s="11">
        <v>28.0</v>
      </c>
      <c r="AP32" s="11">
        <v>23.0</v>
      </c>
      <c r="AQ32" s="11"/>
      <c r="AR32" s="11"/>
      <c r="AS32" s="11"/>
      <c r="AT32" s="11"/>
      <c r="AU32" s="11"/>
      <c r="AV32" s="11"/>
      <c r="AW32" s="11"/>
      <c r="AX32" s="10">
        <f t="shared" si="4"/>
        <v>828</v>
      </c>
    </row>
    <row r="33" ht="22.5" customHeight="1">
      <c r="A33" s="12">
        <v>45793.0</v>
      </c>
      <c r="B33" s="15"/>
      <c r="C33" s="13"/>
      <c r="D33" s="15"/>
      <c r="E33" s="15"/>
      <c r="F33" s="15"/>
      <c r="G33" s="15"/>
      <c r="H33" s="15"/>
      <c r="I33" s="15"/>
      <c r="J33" s="16"/>
      <c r="K33" s="16"/>
      <c r="L33" s="15"/>
      <c r="M33" s="15"/>
      <c r="N33" s="15"/>
      <c r="O33" s="15"/>
      <c r="P33" s="15"/>
      <c r="Q33" s="16"/>
      <c r="R33" s="15"/>
      <c r="S33" s="15"/>
      <c r="T33" s="15"/>
      <c r="U33" s="15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4"/>
      <c r="AM33" s="14"/>
      <c r="AN33" s="14"/>
      <c r="AO33" s="14"/>
      <c r="AP33" s="14">
        <v>24.0</v>
      </c>
      <c r="AQ33" s="14"/>
      <c r="AR33" s="14"/>
      <c r="AS33" s="14"/>
      <c r="AT33" s="14"/>
      <c r="AU33" s="14"/>
      <c r="AV33" s="14"/>
      <c r="AW33" s="14"/>
      <c r="AX33" s="13">
        <f t="shared" si="4"/>
        <v>24</v>
      </c>
    </row>
    <row r="34" ht="22.5" customHeight="1">
      <c r="A34" s="9">
        <v>45789.0</v>
      </c>
      <c r="B34" s="10">
        <v>8.0</v>
      </c>
      <c r="C34" s="10">
        <v>22.0</v>
      </c>
      <c r="D34" s="10">
        <v>8.0</v>
      </c>
      <c r="E34" s="10">
        <v>56.0</v>
      </c>
      <c r="F34" s="10">
        <v>55.0</v>
      </c>
      <c r="G34" s="10">
        <v>59.0</v>
      </c>
      <c r="H34" s="10">
        <v>3.0</v>
      </c>
      <c r="I34" s="10">
        <v>0.0</v>
      </c>
      <c r="J34" s="11">
        <v>3.0</v>
      </c>
      <c r="K34" s="11">
        <v>13.0</v>
      </c>
      <c r="L34" s="10">
        <v>11.0</v>
      </c>
      <c r="M34" s="10">
        <v>47.0</v>
      </c>
      <c r="N34" s="10">
        <v>0.0</v>
      </c>
      <c r="O34" s="10">
        <v>28.0</v>
      </c>
      <c r="P34" s="10">
        <v>0.0</v>
      </c>
      <c r="Q34" s="11">
        <v>26.0</v>
      </c>
      <c r="R34" s="10">
        <v>49.0</v>
      </c>
      <c r="S34" s="10">
        <v>53.0</v>
      </c>
      <c r="T34" s="10">
        <v>7.0</v>
      </c>
      <c r="U34" s="10">
        <v>0.0</v>
      </c>
      <c r="V34" s="11">
        <v>17.0</v>
      </c>
      <c r="W34" s="11">
        <v>43.0</v>
      </c>
      <c r="X34" s="11"/>
      <c r="Y34" s="11">
        <v>70.0</v>
      </c>
      <c r="Z34" s="11">
        <v>11.0</v>
      </c>
      <c r="AA34" s="11">
        <v>27.0</v>
      </c>
      <c r="AB34" s="11">
        <v>0.0</v>
      </c>
      <c r="AC34" s="11">
        <v>17.0</v>
      </c>
      <c r="AD34" s="11">
        <v>0.0</v>
      </c>
      <c r="AE34" s="11">
        <v>42.0</v>
      </c>
      <c r="AF34" s="11">
        <v>2.0</v>
      </c>
      <c r="AG34" s="11">
        <v>12.0</v>
      </c>
      <c r="AH34" s="11">
        <v>40.0</v>
      </c>
      <c r="AI34" s="11">
        <v>20.0</v>
      </c>
      <c r="AJ34" s="11">
        <v>21.0</v>
      </c>
      <c r="AK34" s="11">
        <v>11.0</v>
      </c>
      <c r="AL34" s="11">
        <v>12.0</v>
      </c>
      <c r="AM34" s="11">
        <v>30.0</v>
      </c>
      <c r="AN34" s="11">
        <v>14.0</v>
      </c>
      <c r="AO34" s="11">
        <v>28.0</v>
      </c>
      <c r="AP34" s="11"/>
      <c r="AQ34" s="11"/>
      <c r="AR34" s="11"/>
      <c r="AS34" s="11"/>
      <c r="AT34" s="11"/>
      <c r="AU34" s="11"/>
      <c r="AV34" s="11"/>
      <c r="AW34" s="11"/>
      <c r="AX34" s="10">
        <f t="shared" si="4"/>
        <v>865</v>
      </c>
    </row>
    <row r="35" ht="22.5" customHeight="1">
      <c r="A35" s="12">
        <v>45786.0</v>
      </c>
      <c r="B35" s="15"/>
      <c r="C35" s="13"/>
      <c r="D35" s="15"/>
      <c r="E35" s="15"/>
      <c r="F35" s="15"/>
      <c r="G35" s="15"/>
      <c r="H35" s="15"/>
      <c r="I35" s="15"/>
      <c r="J35" s="16"/>
      <c r="K35" s="16"/>
      <c r="L35" s="15"/>
      <c r="M35" s="15"/>
      <c r="N35" s="15"/>
      <c r="O35" s="15"/>
      <c r="P35" s="15"/>
      <c r="Q35" s="16"/>
      <c r="R35" s="15"/>
      <c r="S35" s="15"/>
      <c r="T35" s="15"/>
      <c r="U35" s="15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4"/>
      <c r="AM35" s="14"/>
      <c r="AN35" s="14">
        <v>15.0</v>
      </c>
      <c r="AO35" s="14">
        <v>28.0</v>
      </c>
      <c r="AP35" s="14"/>
      <c r="AQ35" s="14"/>
      <c r="AR35" s="14"/>
      <c r="AS35" s="14"/>
      <c r="AT35" s="14"/>
      <c r="AU35" s="14"/>
      <c r="AV35" s="14"/>
      <c r="AW35" s="14"/>
      <c r="AX35" s="13">
        <f t="shared" si="4"/>
        <v>43</v>
      </c>
    </row>
    <row r="36" ht="22.5" customHeight="1">
      <c r="A36" s="9">
        <v>45783.0</v>
      </c>
      <c r="B36" s="10">
        <v>14.0</v>
      </c>
      <c r="C36" s="10">
        <v>23.0</v>
      </c>
      <c r="D36" s="10">
        <v>11.0</v>
      </c>
      <c r="E36" s="10">
        <v>56.0</v>
      </c>
      <c r="F36" s="10">
        <v>55.0</v>
      </c>
      <c r="G36" s="10">
        <v>66.0</v>
      </c>
      <c r="H36" s="10">
        <v>3.0</v>
      </c>
      <c r="I36" s="10">
        <v>0.0</v>
      </c>
      <c r="J36" s="11">
        <v>6.0</v>
      </c>
      <c r="K36" s="11">
        <v>14.0</v>
      </c>
      <c r="L36" s="10">
        <v>13.0</v>
      </c>
      <c r="M36" s="10">
        <v>53.0</v>
      </c>
      <c r="N36" s="10">
        <v>0.0</v>
      </c>
      <c r="O36" s="10">
        <v>30.0</v>
      </c>
      <c r="P36" s="10">
        <v>0.0</v>
      </c>
      <c r="Q36" s="11">
        <v>26.0</v>
      </c>
      <c r="R36" s="10">
        <v>52.0</v>
      </c>
      <c r="S36" s="10">
        <v>53.0</v>
      </c>
      <c r="T36" s="10">
        <v>7.0</v>
      </c>
      <c r="U36" s="10">
        <v>0.0</v>
      </c>
      <c r="V36" s="11">
        <v>18.0</v>
      </c>
      <c r="W36" s="11">
        <v>43.0</v>
      </c>
      <c r="X36" s="11"/>
      <c r="Y36" s="11">
        <v>70.0</v>
      </c>
      <c r="Z36" s="11">
        <v>11.0</v>
      </c>
      <c r="AA36" s="11">
        <v>27.0</v>
      </c>
      <c r="AB36" s="11">
        <v>0.0</v>
      </c>
      <c r="AC36" s="11">
        <v>17.0</v>
      </c>
      <c r="AD36" s="11">
        <v>0.0</v>
      </c>
      <c r="AE36" s="11">
        <v>42.0</v>
      </c>
      <c r="AF36" s="11">
        <v>2.0</v>
      </c>
      <c r="AG36" s="11">
        <v>12.0</v>
      </c>
      <c r="AH36" s="11">
        <v>40.0</v>
      </c>
      <c r="AI36" s="11">
        <v>20.0</v>
      </c>
      <c r="AJ36" s="11">
        <v>21.0</v>
      </c>
      <c r="AK36" s="11">
        <v>14.0</v>
      </c>
      <c r="AL36" s="11">
        <v>15.0</v>
      </c>
      <c r="AM36" s="11">
        <v>37.0</v>
      </c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0">
        <f t="shared" si="4"/>
        <v>871</v>
      </c>
    </row>
    <row r="37" ht="22.5" customHeight="1">
      <c r="A37" s="9">
        <v>45775.0</v>
      </c>
      <c r="B37" s="10">
        <v>21.0</v>
      </c>
      <c r="C37" s="10">
        <v>24.0</v>
      </c>
      <c r="D37" s="10">
        <v>15.0</v>
      </c>
      <c r="E37" s="10">
        <v>56.0</v>
      </c>
      <c r="F37" s="10">
        <v>56.0</v>
      </c>
      <c r="G37" s="10">
        <v>71.0</v>
      </c>
      <c r="H37" s="10">
        <v>3.0</v>
      </c>
      <c r="I37" s="10">
        <v>0.0</v>
      </c>
      <c r="J37" s="11">
        <v>6.0</v>
      </c>
      <c r="K37" s="11">
        <v>14.0</v>
      </c>
      <c r="L37" s="10">
        <v>14.0</v>
      </c>
      <c r="M37" s="10">
        <v>55.0</v>
      </c>
      <c r="N37" s="10">
        <v>0.0</v>
      </c>
      <c r="O37" s="10">
        <v>35.0</v>
      </c>
      <c r="P37" s="10">
        <v>0.0</v>
      </c>
      <c r="Q37" s="11">
        <v>28.0</v>
      </c>
      <c r="R37" s="10">
        <v>53.0</v>
      </c>
      <c r="S37" s="10">
        <v>52.0</v>
      </c>
      <c r="T37" s="10">
        <v>7.0</v>
      </c>
      <c r="U37" s="10">
        <v>0.0</v>
      </c>
      <c r="V37" s="11">
        <v>19.0</v>
      </c>
      <c r="W37" s="11">
        <v>44.0</v>
      </c>
      <c r="X37" s="11"/>
      <c r="Y37" s="11">
        <v>71.0</v>
      </c>
      <c r="Z37" s="11">
        <v>11.0</v>
      </c>
      <c r="AA37" s="11">
        <v>27.0</v>
      </c>
      <c r="AB37" s="11">
        <v>0.0</v>
      </c>
      <c r="AC37" s="11">
        <v>17.0</v>
      </c>
      <c r="AD37" s="11">
        <v>0.0</v>
      </c>
      <c r="AE37" s="11">
        <v>44.0</v>
      </c>
      <c r="AF37" s="11">
        <v>2.0</v>
      </c>
      <c r="AG37" s="11">
        <v>12.0</v>
      </c>
      <c r="AH37" s="11">
        <v>40.0</v>
      </c>
      <c r="AI37" s="11">
        <v>21.0</v>
      </c>
      <c r="AJ37" s="11">
        <v>21.0</v>
      </c>
      <c r="AK37" s="11">
        <v>22.0</v>
      </c>
      <c r="AL37" s="11">
        <v>15.0</v>
      </c>
      <c r="AM37" s="11">
        <v>43.0</v>
      </c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0">
        <f t="shared" si="4"/>
        <v>919</v>
      </c>
    </row>
    <row r="38" ht="22.5" customHeight="1">
      <c r="A38" s="12">
        <v>45770.0</v>
      </c>
      <c r="B38" s="15"/>
      <c r="C38" s="13"/>
      <c r="D38" s="15"/>
      <c r="E38" s="15"/>
      <c r="F38" s="15"/>
      <c r="G38" s="15"/>
      <c r="H38" s="15"/>
      <c r="I38" s="15"/>
      <c r="J38" s="16"/>
      <c r="K38" s="16"/>
      <c r="L38" s="15"/>
      <c r="M38" s="15"/>
      <c r="N38" s="15"/>
      <c r="O38" s="15"/>
      <c r="P38" s="15"/>
      <c r="Q38" s="16"/>
      <c r="R38" s="15"/>
      <c r="S38" s="15"/>
      <c r="T38" s="15"/>
      <c r="U38" s="15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4"/>
      <c r="AM38" s="14">
        <v>46.0</v>
      </c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3">
        <f t="shared" si="4"/>
        <v>46</v>
      </c>
    </row>
    <row r="39" ht="22.5" customHeight="1">
      <c r="A39" s="12">
        <v>45765.0</v>
      </c>
      <c r="B39" s="15"/>
      <c r="C39" s="13">
        <v>26.0</v>
      </c>
      <c r="D39" s="15"/>
      <c r="E39" s="15"/>
      <c r="F39" s="15"/>
      <c r="G39" s="15"/>
      <c r="H39" s="15"/>
      <c r="I39" s="15"/>
      <c r="J39" s="16"/>
      <c r="K39" s="16"/>
      <c r="L39" s="15"/>
      <c r="M39" s="15"/>
      <c r="N39" s="15"/>
      <c r="O39" s="15"/>
      <c r="P39" s="15"/>
      <c r="Q39" s="16"/>
      <c r="R39" s="15"/>
      <c r="S39" s="15"/>
      <c r="T39" s="15"/>
      <c r="U39" s="15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4">
        <v>25.0</v>
      </c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3">
        <f t="shared" si="4"/>
        <v>51</v>
      </c>
    </row>
    <row r="40" ht="22.5" customHeight="1">
      <c r="A40" s="9">
        <v>45761.0</v>
      </c>
      <c r="B40" s="10">
        <v>45.0</v>
      </c>
      <c r="C40" s="10">
        <v>0.0</v>
      </c>
      <c r="D40" s="10">
        <v>17.0</v>
      </c>
      <c r="E40" s="10">
        <v>57.0</v>
      </c>
      <c r="F40" s="10">
        <v>59.0</v>
      </c>
      <c r="G40" s="10">
        <v>73.0</v>
      </c>
      <c r="H40" s="10">
        <v>4.0</v>
      </c>
      <c r="I40" s="10">
        <v>0.0</v>
      </c>
      <c r="J40" s="11">
        <v>6.0</v>
      </c>
      <c r="K40" s="11">
        <v>14.0</v>
      </c>
      <c r="L40" s="10">
        <v>16.0</v>
      </c>
      <c r="M40" s="10">
        <v>61.0</v>
      </c>
      <c r="N40" s="10">
        <v>0.0</v>
      </c>
      <c r="O40" s="10">
        <v>39.0</v>
      </c>
      <c r="P40" s="10">
        <v>0.0</v>
      </c>
      <c r="Q40" s="11">
        <v>39.0</v>
      </c>
      <c r="R40" s="10">
        <v>57.0</v>
      </c>
      <c r="S40" s="10">
        <v>58.0</v>
      </c>
      <c r="T40" s="10">
        <v>7.0</v>
      </c>
      <c r="U40" s="10">
        <v>0.0</v>
      </c>
      <c r="V40" s="11">
        <v>19.0</v>
      </c>
      <c r="W40" s="11">
        <v>46.0</v>
      </c>
      <c r="X40" s="11"/>
      <c r="Y40" s="11">
        <v>71.0</v>
      </c>
      <c r="Z40" s="11">
        <v>11.0</v>
      </c>
      <c r="AA40" s="11">
        <v>27.0</v>
      </c>
      <c r="AB40" s="11">
        <v>0.0</v>
      </c>
      <c r="AC40" s="11">
        <v>17.0</v>
      </c>
      <c r="AD40" s="11">
        <v>0.0</v>
      </c>
      <c r="AE40" s="11">
        <v>44.0</v>
      </c>
      <c r="AF40" s="11">
        <v>2.0</v>
      </c>
      <c r="AG40" s="11">
        <v>12.0</v>
      </c>
      <c r="AH40" s="11">
        <v>40.0</v>
      </c>
      <c r="AI40" s="11">
        <v>26.0</v>
      </c>
      <c r="AJ40" s="11">
        <v>22.0</v>
      </c>
      <c r="AK40" s="11">
        <v>35.0</v>
      </c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0">
        <f t="shared" si="4"/>
        <v>924</v>
      </c>
    </row>
    <row r="41" ht="22.5" customHeight="1">
      <c r="A41" s="12">
        <v>45757.0</v>
      </c>
      <c r="B41" s="15"/>
      <c r="C41" s="15"/>
      <c r="D41" s="15"/>
      <c r="E41" s="15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5"/>
      <c r="Q41" s="16"/>
      <c r="R41" s="15"/>
      <c r="S41" s="15"/>
      <c r="T41" s="15"/>
      <c r="U41" s="15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4">
        <v>22.0</v>
      </c>
      <c r="AK41" s="14">
        <v>39.0</v>
      </c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3">
        <f t="shared" si="4"/>
        <v>61</v>
      </c>
    </row>
    <row r="42" ht="22.5" customHeight="1">
      <c r="A42" s="9">
        <v>45754.0</v>
      </c>
      <c r="B42" s="10">
        <v>50.0</v>
      </c>
      <c r="C42" s="10">
        <v>2.0</v>
      </c>
      <c r="D42" s="10">
        <v>20.0</v>
      </c>
      <c r="E42" s="10">
        <v>57.0</v>
      </c>
      <c r="F42" s="10">
        <v>60.0</v>
      </c>
      <c r="G42" s="10">
        <v>81.0</v>
      </c>
      <c r="H42" s="10">
        <v>5.0</v>
      </c>
      <c r="I42" s="10">
        <v>0.0</v>
      </c>
      <c r="J42" s="11">
        <v>8.0</v>
      </c>
      <c r="K42" s="11">
        <v>16.0</v>
      </c>
      <c r="L42" s="10">
        <v>16.0</v>
      </c>
      <c r="M42" s="10">
        <v>64.0</v>
      </c>
      <c r="N42" s="10">
        <v>0.0</v>
      </c>
      <c r="O42" s="10">
        <v>45.0</v>
      </c>
      <c r="P42" s="10">
        <v>0.0</v>
      </c>
      <c r="Q42" s="11">
        <v>42.0</v>
      </c>
      <c r="R42" s="10">
        <v>57.0</v>
      </c>
      <c r="S42" s="10">
        <v>58.0</v>
      </c>
      <c r="T42" s="10">
        <v>7.0</v>
      </c>
      <c r="U42" s="10">
        <v>0.0</v>
      </c>
      <c r="V42" s="11">
        <v>19.0</v>
      </c>
      <c r="W42" s="11">
        <v>46.0</v>
      </c>
      <c r="X42" s="11"/>
      <c r="Y42" s="11">
        <v>75.0</v>
      </c>
      <c r="Z42" s="11">
        <v>11.0</v>
      </c>
      <c r="AA42" s="11">
        <v>28.0</v>
      </c>
      <c r="AB42" s="11">
        <v>0.0</v>
      </c>
      <c r="AC42" s="11">
        <v>17.0</v>
      </c>
      <c r="AD42" s="11">
        <v>0.0</v>
      </c>
      <c r="AE42" s="11">
        <v>44.0</v>
      </c>
      <c r="AF42" s="11">
        <v>3.0</v>
      </c>
      <c r="AG42" s="11">
        <v>14.0</v>
      </c>
      <c r="AH42" s="11">
        <v>40.0</v>
      </c>
      <c r="AI42" s="11">
        <v>26.0</v>
      </c>
      <c r="AX42" s="17">
        <f t="shared" si="4"/>
        <v>911</v>
      </c>
    </row>
    <row r="43" ht="22.5" customHeight="1">
      <c r="A43" s="12">
        <v>45747.0</v>
      </c>
      <c r="B43" s="13">
        <v>35.0</v>
      </c>
      <c r="C43" s="15"/>
      <c r="D43" s="15"/>
      <c r="E43" s="15"/>
      <c r="F43" s="15"/>
      <c r="G43" s="15"/>
      <c r="H43" s="15"/>
      <c r="I43" s="15"/>
      <c r="J43" s="16"/>
      <c r="K43" s="16"/>
      <c r="L43" s="15"/>
      <c r="M43" s="13">
        <v>64.0</v>
      </c>
      <c r="N43" s="15"/>
      <c r="O43" s="15"/>
      <c r="P43" s="15"/>
      <c r="Q43" s="16"/>
      <c r="R43" s="15"/>
      <c r="S43" s="15"/>
      <c r="T43" s="15"/>
      <c r="U43" s="15"/>
      <c r="V43" s="16"/>
      <c r="W43" s="16"/>
      <c r="X43" s="14"/>
      <c r="Y43" s="14">
        <v>75.0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5">
        <f t="shared" si="4"/>
        <v>174</v>
      </c>
    </row>
    <row r="44" ht="22.5" customHeight="1">
      <c r="A44" s="9">
        <v>45740.0</v>
      </c>
      <c r="B44" s="10">
        <v>15.0</v>
      </c>
      <c r="C44" s="10">
        <v>4.0</v>
      </c>
      <c r="D44" s="10">
        <v>23.0</v>
      </c>
      <c r="E44" s="10">
        <v>57.0</v>
      </c>
      <c r="F44" s="10">
        <v>63.0</v>
      </c>
      <c r="G44" s="10">
        <v>81.0</v>
      </c>
      <c r="H44" s="10">
        <v>8.0</v>
      </c>
      <c r="I44" s="10">
        <v>0.0</v>
      </c>
      <c r="J44" s="11">
        <v>10.0</v>
      </c>
      <c r="K44" s="11">
        <v>16.0</v>
      </c>
      <c r="L44" s="10">
        <v>19.0</v>
      </c>
      <c r="M44" s="10">
        <v>0.0</v>
      </c>
      <c r="N44" s="10">
        <v>0.0</v>
      </c>
      <c r="O44" s="10">
        <v>50.0</v>
      </c>
      <c r="P44" s="10">
        <v>1.0</v>
      </c>
      <c r="Q44" s="11">
        <v>46.0</v>
      </c>
      <c r="R44" s="10">
        <v>61.0</v>
      </c>
      <c r="S44" s="10">
        <v>60.0</v>
      </c>
      <c r="T44" s="10">
        <v>8.0</v>
      </c>
      <c r="U44" s="10">
        <v>0.0</v>
      </c>
      <c r="V44" s="11">
        <v>20.0</v>
      </c>
      <c r="W44" s="11">
        <v>0.0</v>
      </c>
      <c r="X44" s="11"/>
      <c r="Y44" s="11">
        <v>0.0</v>
      </c>
      <c r="Z44" s="11">
        <v>11.0</v>
      </c>
      <c r="AA44" s="11">
        <v>29.0</v>
      </c>
      <c r="AB44" s="11">
        <v>0.0</v>
      </c>
      <c r="AC44" s="11">
        <v>18.0</v>
      </c>
      <c r="AD44" s="11">
        <v>0.0</v>
      </c>
      <c r="AE44" s="11">
        <v>50.0</v>
      </c>
      <c r="AF44" s="11">
        <v>5.0</v>
      </c>
      <c r="AG44" s="11">
        <v>20.0</v>
      </c>
      <c r="AH44" s="11">
        <v>40.0</v>
      </c>
      <c r="AI44" s="11">
        <v>26.0</v>
      </c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0">
        <f t="shared" si="4"/>
        <v>741</v>
      </c>
    </row>
    <row r="45" ht="22.5" customHeight="1">
      <c r="A45" s="12">
        <v>45733.0</v>
      </c>
      <c r="B45" s="15"/>
      <c r="C45" s="15"/>
      <c r="D45" s="15"/>
      <c r="E45" s="13">
        <v>57.0</v>
      </c>
      <c r="F45" s="15"/>
      <c r="G45" s="15"/>
      <c r="H45" s="15"/>
      <c r="I45" s="15"/>
      <c r="J45" s="16"/>
      <c r="K45" s="14">
        <v>17.0</v>
      </c>
      <c r="L45" s="15"/>
      <c r="M45" s="15"/>
      <c r="N45" s="15"/>
      <c r="O45" s="15"/>
      <c r="P45" s="15"/>
      <c r="Q45" s="16"/>
      <c r="R45" s="13">
        <v>61.0</v>
      </c>
      <c r="S45" s="13">
        <v>60.0</v>
      </c>
      <c r="T45" s="15"/>
      <c r="U45" s="15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4">
        <v>28.0</v>
      </c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3">
        <f t="shared" si="4"/>
        <v>223</v>
      </c>
    </row>
    <row r="46" ht="22.5" customHeight="1">
      <c r="A46" s="9">
        <v>45727.0</v>
      </c>
      <c r="B46" s="10">
        <v>26.0</v>
      </c>
      <c r="C46" s="10">
        <v>8.0</v>
      </c>
      <c r="D46" s="10">
        <v>26.0</v>
      </c>
      <c r="E46" s="10">
        <v>0.0</v>
      </c>
      <c r="F46" s="10">
        <v>66.0</v>
      </c>
      <c r="G46" s="10">
        <v>83.0</v>
      </c>
      <c r="H46" s="10">
        <v>10.0</v>
      </c>
      <c r="I46" s="10">
        <v>0.0</v>
      </c>
      <c r="J46" s="11">
        <v>11.0</v>
      </c>
      <c r="K46" s="11"/>
      <c r="L46" s="10">
        <v>20.0</v>
      </c>
      <c r="M46" s="10">
        <v>11.0</v>
      </c>
      <c r="N46" s="10">
        <v>0.0</v>
      </c>
      <c r="O46" s="10">
        <v>56.0</v>
      </c>
      <c r="P46" s="10">
        <v>3.0</v>
      </c>
      <c r="Q46" s="11">
        <v>56.0</v>
      </c>
      <c r="R46" s="10">
        <v>0.0</v>
      </c>
      <c r="S46" s="10">
        <v>0.0</v>
      </c>
      <c r="T46" s="10">
        <v>8.0</v>
      </c>
      <c r="U46" s="10">
        <v>0.0</v>
      </c>
      <c r="V46" s="11">
        <v>20.0</v>
      </c>
      <c r="W46" s="11">
        <v>0.0</v>
      </c>
      <c r="X46" s="11"/>
      <c r="Y46" s="11">
        <v>0.0</v>
      </c>
      <c r="Z46" s="11">
        <v>11.0</v>
      </c>
      <c r="AA46" s="11">
        <v>29.0</v>
      </c>
      <c r="AB46" s="11">
        <v>0.0</v>
      </c>
      <c r="AC46" s="11">
        <v>18.0</v>
      </c>
      <c r="AD46" s="11">
        <v>1.0</v>
      </c>
      <c r="AE46" s="11">
        <v>54.0</v>
      </c>
      <c r="AF46" s="11">
        <v>5.0</v>
      </c>
      <c r="AG46" s="11">
        <v>21.0</v>
      </c>
      <c r="AH46" s="11">
        <v>41.0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0">
        <f t="shared" si="4"/>
        <v>584</v>
      </c>
    </row>
    <row r="47" ht="22.5" customHeight="1">
      <c r="A47" s="9">
        <v>45719.0</v>
      </c>
      <c r="B47" s="10">
        <v>39.0</v>
      </c>
      <c r="C47" s="10">
        <v>12.0</v>
      </c>
      <c r="D47" s="10">
        <v>26.0</v>
      </c>
      <c r="E47" s="10">
        <v>0.0</v>
      </c>
      <c r="F47" s="10">
        <v>68.0</v>
      </c>
      <c r="G47" s="10">
        <v>87.0</v>
      </c>
      <c r="H47" s="10">
        <v>12.0</v>
      </c>
      <c r="I47" s="10">
        <v>0.0</v>
      </c>
      <c r="J47" s="11">
        <v>0.0</v>
      </c>
      <c r="K47" s="11">
        <v>0.0</v>
      </c>
      <c r="L47" s="10">
        <v>26.0</v>
      </c>
      <c r="M47" s="10">
        <v>20.0</v>
      </c>
      <c r="N47" s="10">
        <v>0.0</v>
      </c>
      <c r="O47" s="10">
        <v>63.0</v>
      </c>
      <c r="P47" s="10">
        <v>3.0</v>
      </c>
      <c r="Q47" s="11">
        <v>58.0</v>
      </c>
      <c r="R47" s="10">
        <v>0.0</v>
      </c>
      <c r="S47" s="10">
        <v>0.0</v>
      </c>
      <c r="T47" s="10">
        <v>8.0</v>
      </c>
      <c r="U47" s="10">
        <v>0.0</v>
      </c>
      <c r="V47" s="11">
        <v>20.0</v>
      </c>
      <c r="W47" s="11">
        <v>0.0</v>
      </c>
      <c r="X47" s="11"/>
      <c r="Y47" s="11">
        <v>0.0</v>
      </c>
      <c r="Z47" s="11">
        <v>11.0</v>
      </c>
      <c r="AA47" s="11">
        <v>29.0</v>
      </c>
      <c r="AB47" s="11">
        <v>0.0</v>
      </c>
      <c r="AC47" s="11">
        <v>18.0</v>
      </c>
      <c r="AD47" s="11">
        <v>7.0</v>
      </c>
      <c r="AE47" s="11">
        <v>46.0</v>
      </c>
      <c r="AF47" s="11">
        <v>9.0</v>
      </c>
      <c r="AG47" s="11">
        <v>24.0</v>
      </c>
      <c r="AH47" s="11">
        <v>41.0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0">
        <f t="shared" si="4"/>
        <v>627</v>
      </c>
    </row>
    <row r="48" ht="22.5" customHeight="1">
      <c r="A48" s="9">
        <v>45710.0</v>
      </c>
      <c r="B48" s="10">
        <v>41.0</v>
      </c>
      <c r="C48" s="10">
        <v>14.0</v>
      </c>
      <c r="D48" s="10">
        <v>33.0</v>
      </c>
      <c r="E48" s="10">
        <v>4.0</v>
      </c>
      <c r="F48" s="10">
        <v>72.0</v>
      </c>
      <c r="G48" s="10">
        <v>92.0</v>
      </c>
      <c r="H48" s="10">
        <v>14.0</v>
      </c>
      <c r="I48" s="10">
        <v>0.0</v>
      </c>
      <c r="J48" s="11">
        <v>0.0</v>
      </c>
      <c r="K48" s="11"/>
      <c r="L48" s="10">
        <v>30.0</v>
      </c>
      <c r="M48" s="10">
        <v>32.0</v>
      </c>
      <c r="N48" s="10">
        <v>0.0</v>
      </c>
      <c r="O48" s="10">
        <v>65.0</v>
      </c>
      <c r="P48" s="10">
        <v>6.0</v>
      </c>
      <c r="Q48" s="11">
        <v>65.0</v>
      </c>
      <c r="R48" s="10">
        <v>0.0</v>
      </c>
      <c r="S48" s="10">
        <v>0.0</v>
      </c>
      <c r="T48" s="10">
        <v>8.0</v>
      </c>
      <c r="U48" s="10">
        <v>0.0</v>
      </c>
      <c r="V48" s="11">
        <v>21.0</v>
      </c>
      <c r="W48" s="11">
        <v>1.0</v>
      </c>
      <c r="X48" s="11"/>
      <c r="Y48" s="11">
        <v>8.0</v>
      </c>
      <c r="Z48" s="11">
        <v>11.0</v>
      </c>
      <c r="AA48" s="11">
        <v>30.0</v>
      </c>
      <c r="AB48" s="11">
        <v>7.0</v>
      </c>
      <c r="AC48" s="11">
        <v>18.0</v>
      </c>
      <c r="AD48" s="11">
        <v>14.0</v>
      </c>
      <c r="AE48" s="11">
        <v>57.0</v>
      </c>
      <c r="AF48" s="11">
        <v>10.0</v>
      </c>
      <c r="AG48" s="11">
        <v>24.0</v>
      </c>
      <c r="AH48" s="11">
        <v>42.0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0">
        <f t="shared" si="4"/>
        <v>719</v>
      </c>
    </row>
    <row r="49" ht="22.5" customHeight="1">
      <c r="A49" s="12">
        <v>45708.0</v>
      </c>
      <c r="B49" s="15"/>
      <c r="C49" s="15"/>
      <c r="D49" s="15"/>
      <c r="E49" s="15"/>
      <c r="F49" s="15"/>
      <c r="G49" s="15"/>
      <c r="H49" s="15"/>
      <c r="I49" s="15"/>
      <c r="J49" s="16"/>
      <c r="K49" s="14"/>
      <c r="L49" s="15"/>
      <c r="M49" s="15"/>
      <c r="N49" s="15"/>
      <c r="O49" s="15"/>
      <c r="P49" s="15"/>
      <c r="Q49" s="16"/>
      <c r="R49" s="15"/>
      <c r="S49" s="15"/>
      <c r="T49" s="15"/>
      <c r="U49" s="15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4">
        <v>10.0</v>
      </c>
      <c r="AG49" s="14">
        <v>24.0</v>
      </c>
      <c r="AH49" s="14">
        <v>42.0</v>
      </c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3">
        <f t="shared" si="4"/>
        <v>76</v>
      </c>
    </row>
    <row r="50" ht="22.5" customHeight="1">
      <c r="A50" s="12">
        <v>45700.0</v>
      </c>
      <c r="B50" s="15"/>
      <c r="C50" s="15"/>
      <c r="D50" s="15"/>
      <c r="E50" s="15"/>
      <c r="F50" s="13">
        <v>76.0</v>
      </c>
      <c r="G50" s="15"/>
      <c r="H50" s="15"/>
      <c r="I50" s="15"/>
      <c r="J50" s="16"/>
      <c r="K50" s="16"/>
      <c r="L50" s="15"/>
      <c r="M50" s="15"/>
      <c r="N50" s="15"/>
      <c r="O50" s="15"/>
      <c r="P50" s="15"/>
      <c r="Q50" s="16"/>
      <c r="R50" s="15"/>
      <c r="S50" s="15"/>
      <c r="T50" s="15"/>
      <c r="U50" s="15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5">
        <f t="shared" si="4"/>
        <v>76</v>
      </c>
    </row>
    <row r="51" ht="22.5" customHeight="1">
      <c r="A51" s="12">
        <v>45694.0</v>
      </c>
      <c r="B51" s="15"/>
      <c r="C51" s="15"/>
      <c r="D51" s="15"/>
      <c r="E51" s="15"/>
      <c r="F51" s="15"/>
      <c r="G51" s="13">
        <v>97.0</v>
      </c>
      <c r="H51" s="15"/>
      <c r="I51" s="15"/>
      <c r="J51" s="16"/>
      <c r="K51" s="16"/>
      <c r="L51" s="15"/>
      <c r="M51" s="15"/>
      <c r="N51" s="15"/>
      <c r="O51" s="15"/>
      <c r="P51" s="15"/>
      <c r="Q51" s="16"/>
      <c r="R51" s="15"/>
      <c r="S51" s="15"/>
      <c r="T51" s="15"/>
      <c r="U51" s="15"/>
      <c r="V51" s="16"/>
      <c r="W51" s="16"/>
      <c r="X51" s="16"/>
      <c r="Y51" s="16"/>
      <c r="Z51" s="16"/>
      <c r="AA51" s="16"/>
      <c r="AB51" s="16"/>
      <c r="AC51" s="16"/>
      <c r="AD51" s="16"/>
      <c r="AE51" s="14">
        <v>61.0</v>
      </c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5">
        <f t="shared" si="4"/>
        <v>158</v>
      </c>
    </row>
    <row r="52" ht="22.5" customHeight="1">
      <c r="A52" s="18">
        <v>45691.0</v>
      </c>
      <c r="B52" s="19">
        <v>60.0</v>
      </c>
      <c r="C52" s="19">
        <v>16.0</v>
      </c>
      <c r="D52" s="19">
        <v>39.0</v>
      </c>
      <c r="E52" s="19">
        <v>6.0</v>
      </c>
      <c r="F52" s="19">
        <v>0.0</v>
      </c>
      <c r="G52" s="19">
        <v>0.0</v>
      </c>
      <c r="H52" s="19">
        <v>3.0</v>
      </c>
      <c r="I52" s="19">
        <v>1.0</v>
      </c>
      <c r="J52" s="20">
        <v>0.0</v>
      </c>
      <c r="K52" s="21"/>
      <c r="L52" s="19">
        <v>33.0</v>
      </c>
      <c r="M52" s="19">
        <v>39.0</v>
      </c>
      <c r="N52" s="19">
        <v>0.0</v>
      </c>
      <c r="O52" s="19">
        <v>66.0</v>
      </c>
      <c r="P52" s="19">
        <v>9.0</v>
      </c>
      <c r="Q52" s="20">
        <v>67.0</v>
      </c>
      <c r="R52" s="19">
        <v>0.0</v>
      </c>
      <c r="S52" s="19">
        <v>0.0</v>
      </c>
      <c r="T52" s="19">
        <v>8.0</v>
      </c>
      <c r="U52" s="19">
        <v>0.0</v>
      </c>
      <c r="V52" s="20">
        <v>21.0</v>
      </c>
      <c r="W52" s="20">
        <v>2.0</v>
      </c>
      <c r="X52" s="20"/>
      <c r="Y52" s="20">
        <v>15.0</v>
      </c>
      <c r="Z52" s="20">
        <v>11.0</v>
      </c>
      <c r="AA52" s="20">
        <v>31.0</v>
      </c>
      <c r="AB52" s="20">
        <v>24.0</v>
      </c>
      <c r="AC52" s="20">
        <v>18.0</v>
      </c>
      <c r="AD52" s="20">
        <v>21.0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2">
        <f t="shared" si="4"/>
        <v>490</v>
      </c>
    </row>
    <row r="53" ht="22.5" customHeight="1">
      <c r="A53" s="23">
        <v>45682.0</v>
      </c>
      <c r="B53" s="24">
        <v>80.0</v>
      </c>
      <c r="C53" s="25"/>
      <c r="D53" s="25"/>
      <c r="E53" s="25"/>
      <c r="F53" s="25"/>
      <c r="G53" s="25"/>
      <c r="H53" s="25"/>
      <c r="I53" s="25"/>
      <c r="J53" s="26"/>
      <c r="K53" s="26"/>
      <c r="L53" s="25"/>
      <c r="M53" s="25"/>
      <c r="N53" s="25"/>
      <c r="O53" s="25"/>
      <c r="P53" s="25"/>
      <c r="Q53" s="26"/>
      <c r="R53" s="25"/>
      <c r="S53" s="25"/>
      <c r="T53" s="25"/>
      <c r="U53" s="25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5">
        <f t="shared" si="4"/>
        <v>80</v>
      </c>
    </row>
    <row r="54" ht="22.5" customHeight="1">
      <c r="A54" s="23">
        <v>45680.0</v>
      </c>
      <c r="B54" s="24"/>
      <c r="C54" s="24"/>
      <c r="D54" s="24"/>
      <c r="E54" s="24"/>
      <c r="F54" s="24"/>
      <c r="G54" s="24"/>
      <c r="H54" s="24"/>
      <c r="I54" s="24"/>
      <c r="J54" s="27"/>
      <c r="K54" s="28"/>
      <c r="L54" s="24"/>
      <c r="M54" s="24"/>
      <c r="N54" s="24"/>
      <c r="O54" s="24"/>
      <c r="P54" s="24"/>
      <c r="Q54" s="27">
        <v>74.0</v>
      </c>
      <c r="R54" s="24"/>
      <c r="S54" s="24"/>
      <c r="T54" s="24"/>
      <c r="U54" s="24"/>
      <c r="V54" s="27"/>
      <c r="W54" s="27"/>
      <c r="X54" s="27"/>
      <c r="Y54" s="27"/>
      <c r="Z54" s="27"/>
      <c r="AA54" s="27"/>
      <c r="AB54" s="27"/>
      <c r="AC54" s="27"/>
      <c r="AD54" s="27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4">
        <f t="shared" si="4"/>
        <v>74</v>
      </c>
    </row>
    <row r="55" ht="22.5" customHeight="1">
      <c r="A55" s="9">
        <v>45670.0</v>
      </c>
      <c r="B55" s="10">
        <v>9.0</v>
      </c>
      <c r="C55" s="10">
        <v>20.0</v>
      </c>
      <c r="D55" s="10">
        <v>43.0</v>
      </c>
      <c r="E55" s="10">
        <v>10.0</v>
      </c>
      <c r="F55" s="10">
        <v>5.0</v>
      </c>
      <c r="G55" s="10">
        <v>0.0</v>
      </c>
      <c r="H55" s="10">
        <v>16.0</v>
      </c>
      <c r="I55" s="10">
        <v>2.0</v>
      </c>
      <c r="J55" s="11">
        <v>0.0</v>
      </c>
      <c r="K55" s="29"/>
      <c r="L55" s="10">
        <v>36.0</v>
      </c>
      <c r="M55" s="10">
        <v>44.0</v>
      </c>
      <c r="N55" s="10">
        <v>0.0</v>
      </c>
      <c r="O55" s="10">
        <v>0.0</v>
      </c>
      <c r="P55" s="10">
        <v>10.0</v>
      </c>
      <c r="Q55" s="11">
        <v>0.0</v>
      </c>
      <c r="R55" s="10">
        <v>0.0</v>
      </c>
      <c r="S55" s="10">
        <v>0.0</v>
      </c>
      <c r="T55" s="10">
        <v>8.0</v>
      </c>
      <c r="U55" s="10">
        <v>0.0</v>
      </c>
      <c r="V55" s="11">
        <v>22.0</v>
      </c>
      <c r="W55" s="11">
        <v>5.0</v>
      </c>
      <c r="X55" s="11"/>
      <c r="Y55" s="11">
        <v>23.0</v>
      </c>
      <c r="Z55" s="11">
        <v>11.0</v>
      </c>
      <c r="AA55" s="11">
        <v>31.0</v>
      </c>
      <c r="AB55" s="11">
        <v>35.0</v>
      </c>
      <c r="AC55" s="11">
        <v>18.0</v>
      </c>
      <c r="AD55" s="11">
        <v>26.0</v>
      </c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19">
        <f t="shared" si="4"/>
        <v>374</v>
      </c>
    </row>
    <row r="56" ht="22.5" customHeight="1">
      <c r="A56" s="9">
        <v>45663.0</v>
      </c>
      <c r="B56" s="10">
        <v>15.0</v>
      </c>
      <c r="C56" s="10">
        <v>21.0</v>
      </c>
      <c r="D56" s="10">
        <v>36.0</v>
      </c>
      <c r="E56" s="10">
        <v>11.0</v>
      </c>
      <c r="F56" s="10">
        <v>9.0</v>
      </c>
      <c r="G56" s="10">
        <v>0.0</v>
      </c>
      <c r="H56" s="10">
        <v>17.0</v>
      </c>
      <c r="I56" s="10">
        <v>3.0</v>
      </c>
      <c r="J56" s="11">
        <v>1.0</v>
      </c>
      <c r="K56" s="29"/>
      <c r="L56" s="10">
        <v>37.0</v>
      </c>
      <c r="M56" s="10">
        <v>44.0</v>
      </c>
      <c r="N56" s="10">
        <v>0.0</v>
      </c>
      <c r="O56" s="10">
        <v>0.0</v>
      </c>
      <c r="P56" s="10">
        <v>11.0</v>
      </c>
      <c r="Q56" s="11">
        <v>1.0</v>
      </c>
      <c r="R56" s="10">
        <v>0.0</v>
      </c>
      <c r="S56" s="10">
        <v>0.0</v>
      </c>
      <c r="T56" s="10">
        <v>11.0</v>
      </c>
      <c r="U56" s="10">
        <v>0.0</v>
      </c>
      <c r="V56" s="11">
        <v>23.0</v>
      </c>
      <c r="W56" s="11">
        <v>7.0</v>
      </c>
      <c r="X56" s="11"/>
      <c r="Y56" s="11">
        <v>24.0</v>
      </c>
      <c r="Z56" s="11">
        <v>11.0</v>
      </c>
      <c r="AA56" s="11">
        <v>34.0</v>
      </c>
      <c r="AB56" s="11">
        <v>44.0</v>
      </c>
      <c r="AC56" s="11">
        <v>18.0</v>
      </c>
      <c r="AD56" s="11">
        <v>29.0</v>
      </c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19">
        <f t="shared" si="4"/>
        <v>407</v>
      </c>
    </row>
    <row r="57" ht="22.5" customHeight="1">
      <c r="A57" s="23">
        <v>45660.0</v>
      </c>
      <c r="B57" s="24"/>
      <c r="C57" s="24"/>
      <c r="D57" s="24"/>
      <c r="E57" s="24"/>
      <c r="F57" s="24"/>
      <c r="G57" s="24"/>
      <c r="H57" s="24"/>
      <c r="I57" s="24"/>
      <c r="J57" s="27"/>
      <c r="K57" s="28"/>
      <c r="L57" s="24">
        <v>24.0</v>
      </c>
      <c r="M57" s="24"/>
      <c r="N57" s="24"/>
      <c r="O57" s="24"/>
      <c r="P57" s="24"/>
      <c r="Q57" s="27"/>
      <c r="R57" s="24"/>
      <c r="S57" s="24"/>
      <c r="T57" s="24"/>
      <c r="U57" s="24"/>
      <c r="V57" s="27"/>
      <c r="W57" s="27"/>
      <c r="X57" s="27"/>
      <c r="Y57" s="27"/>
      <c r="Z57" s="27"/>
      <c r="AA57" s="27"/>
      <c r="AB57" s="27"/>
      <c r="AC57" s="27"/>
      <c r="AD57" s="27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4">
        <f t="shared" si="4"/>
        <v>24</v>
      </c>
    </row>
    <row r="58" ht="22.5" customHeight="1">
      <c r="A58" s="9">
        <v>45658.0</v>
      </c>
      <c r="B58" s="10">
        <v>28.0</v>
      </c>
      <c r="C58" s="10">
        <v>24.0</v>
      </c>
      <c r="D58" s="10">
        <v>48.0</v>
      </c>
      <c r="E58" s="10">
        <v>32.0</v>
      </c>
      <c r="F58" s="10">
        <v>16.0</v>
      </c>
      <c r="G58" s="10">
        <v>0.0</v>
      </c>
      <c r="H58" s="10">
        <v>21.0</v>
      </c>
      <c r="I58" s="10">
        <v>6.0</v>
      </c>
      <c r="J58" s="11">
        <v>4.0</v>
      </c>
      <c r="K58" s="29"/>
      <c r="L58" s="10">
        <v>14.0</v>
      </c>
      <c r="M58" s="10">
        <v>48.0</v>
      </c>
      <c r="N58" s="10">
        <v>0.0</v>
      </c>
      <c r="O58" s="10">
        <v>0.0</v>
      </c>
      <c r="P58" s="10">
        <v>11.0</v>
      </c>
      <c r="Q58" s="11">
        <v>2.0</v>
      </c>
      <c r="R58" s="10">
        <v>0.0</v>
      </c>
      <c r="S58" s="10">
        <v>0.0</v>
      </c>
      <c r="T58" s="10">
        <v>14.0</v>
      </c>
      <c r="U58" s="10">
        <v>0.0</v>
      </c>
      <c r="V58" s="11">
        <v>24.0</v>
      </c>
      <c r="W58" s="11">
        <v>10.0</v>
      </c>
      <c r="X58" s="11"/>
      <c r="Y58" s="11">
        <v>26.0</v>
      </c>
      <c r="Z58" s="11">
        <v>12.0</v>
      </c>
      <c r="AA58" s="11">
        <v>35.0</v>
      </c>
      <c r="AB58" s="11">
        <v>59.0</v>
      </c>
      <c r="AC58" s="11">
        <v>18.0</v>
      </c>
      <c r="AD58" s="11">
        <v>35.0</v>
      </c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19">
        <f t="shared" si="4"/>
        <v>487</v>
      </c>
    </row>
    <row r="59" ht="22.5" customHeight="1">
      <c r="A59" s="23">
        <v>45644.0</v>
      </c>
      <c r="B59" s="24"/>
      <c r="C59" s="24"/>
      <c r="D59" s="24">
        <v>40.0</v>
      </c>
      <c r="E59" s="24"/>
      <c r="F59" s="24"/>
      <c r="G59" s="24"/>
      <c r="H59" s="24"/>
      <c r="I59" s="24"/>
      <c r="J59" s="27"/>
      <c r="K59" s="28"/>
      <c r="L59" s="24"/>
      <c r="M59" s="24"/>
      <c r="N59" s="24"/>
      <c r="O59" s="24"/>
      <c r="P59" s="24"/>
      <c r="Q59" s="27"/>
      <c r="R59" s="24"/>
      <c r="S59" s="24"/>
      <c r="T59" s="24"/>
      <c r="U59" s="24"/>
      <c r="V59" s="27"/>
      <c r="W59" s="27"/>
      <c r="X59" s="27"/>
      <c r="Y59" s="27"/>
      <c r="Z59" s="27"/>
      <c r="AA59" s="27"/>
      <c r="AB59" s="27"/>
      <c r="AC59" s="27">
        <v>18.0</v>
      </c>
      <c r="AD59" s="27">
        <v>35.0</v>
      </c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4">
        <f t="shared" si="4"/>
        <v>93</v>
      </c>
    </row>
    <row r="60" ht="22.5" customHeight="1">
      <c r="A60" s="30">
        <v>45627.0</v>
      </c>
      <c r="B60" s="31">
        <v>49.0</v>
      </c>
      <c r="C60" s="31">
        <v>26.0</v>
      </c>
      <c r="D60" s="31">
        <v>12.0</v>
      </c>
      <c r="E60" s="31">
        <v>32.0</v>
      </c>
      <c r="F60" s="31">
        <v>22.0</v>
      </c>
      <c r="G60" s="31">
        <v>0.0</v>
      </c>
      <c r="H60" s="31">
        <v>23.0</v>
      </c>
      <c r="I60" s="31">
        <v>7.0</v>
      </c>
      <c r="J60" s="32">
        <v>5.0</v>
      </c>
      <c r="K60" s="33"/>
      <c r="L60" s="31">
        <v>21.0</v>
      </c>
      <c r="M60" s="31">
        <v>62.0</v>
      </c>
      <c r="N60" s="31">
        <v>0.0</v>
      </c>
      <c r="O60" s="31">
        <v>0.0</v>
      </c>
      <c r="P60" s="31">
        <v>12.0</v>
      </c>
      <c r="Q60" s="32">
        <v>4.0</v>
      </c>
      <c r="R60" s="31">
        <v>0.0</v>
      </c>
      <c r="S60" s="31">
        <v>0.0</v>
      </c>
      <c r="T60" s="31">
        <v>16.0</v>
      </c>
      <c r="U60" s="31">
        <v>0.0</v>
      </c>
      <c r="V60" s="32">
        <v>25.0</v>
      </c>
      <c r="W60" s="32">
        <v>12.0</v>
      </c>
      <c r="X60" s="32"/>
      <c r="Y60" s="32">
        <v>34.0</v>
      </c>
      <c r="Z60" s="32">
        <v>12.0</v>
      </c>
      <c r="AA60" s="32">
        <v>37.0</v>
      </c>
      <c r="AB60" s="32">
        <v>72.0</v>
      </c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1">
        <f t="shared" si="4"/>
        <v>483</v>
      </c>
    </row>
    <row r="61" ht="22.5" customHeight="1">
      <c r="A61" s="23">
        <v>45607.0</v>
      </c>
      <c r="B61" s="24">
        <v>56.0</v>
      </c>
      <c r="C61" s="27">
        <v>29.0</v>
      </c>
      <c r="D61" s="25"/>
      <c r="E61" s="25"/>
      <c r="F61" s="25"/>
      <c r="G61" s="25"/>
      <c r="H61" s="25"/>
      <c r="I61" s="25"/>
      <c r="J61" s="26"/>
      <c r="K61" s="28"/>
      <c r="L61" s="25"/>
      <c r="M61" s="24">
        <v>64.0</v>
      </c>
      <c r="N61" s="25"/>
      <c r="O61" s="25"/>
      <c r="P61" s="25"/>
      <c r="Q61" s="26"/>
      <c r="R61" s="25"/>
      <c r="S61" s="25"/>
      <c r="T61" s="25"/>
      <c r="U61" s="25"/>
      <c r="V61" s="26"/>
      <c r="W61" s="26"/>
      <c r="X61" s="27"/>
      <c r="Y61" s="27">
        <v>36.0</v>
      </c>
      <c r="Z61" s="26"/>
      <c r="AA61" s="27">
        <v>43.0</v>
      </c>
      <c r="AB61" s="27">
        <v>72.0</v>
      </c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4">
        <f t="shared" si="4"/>
        <v>300</v>
      </c>
    </row>
    <row r="62" ht="22.5" customHeight="1">
      <c r="A62" s="9">
        <v>45600.0</v>
      </c>
      <c r="B62" s="11">
        <v>0.0</v>
      </c>
      <c r="C62" s="11">
        <v>0.0</v>
      </c>
      <c r="D62" s="11">
        <v>21.0</v>
      </c>
      <c r="E62" s="11">
        <v>41.0</v>
      </c>
      <c r="F62" s="11">
        <v>37.0</v>
      </c>
      <c r="G62" s="11">
        <v>6.0</v>
      </c>
      <c r="H62" s="10">
        <v>23.0</v>
      </c>
      <c r="I62" s="11">
        <v>12.0</v>
      </c>
      <c r="J62" s="11">
        <v>7.0</v>
      </c>
      <c r="K62" s="21"/>
      <c r="L62" s="11">
        <v>3.0</v>
      </c>
      <c r="M62" s="11">
        <v>1.0</v>
      </c>
      <c r="N62" s="11">
        <v>0.0</v>
      </c>
      <c r="O62" s="11">
        <v>6.0</v>
      </c>
      <c r="P62" s="11">
        <v>14.0</v>
      </c>
      <c r="Q62" s="11">
        <v>11.0</v>
      </c>
      <c r="R62" s="11">
        <v>10.0</v>
      </c>
      <c r="S62" s="11">
        <v>11.0</v>
      </c>
      <c r="T62" s="11">
        <v>19.0</v>
      </c>
      <c r="U62" s="11">
        <v>0.0</v>
      </c>
      <c r="V62" s="11">
        <v>29.0</v>
      </c>
      <c r="W62" s="11">
        <v>15.0</v>
      </c>
      <c r="X62" s="11"/>
      <c r="Y62" s="11">
        <v>5.0</v>
      </c>
      <c r="Z62" s="11">
        <v>12.0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>
        <f t="shared" si="4"/>
        <v>283</v>
      </c>
    </row>
    <row r="63" ht="22.5" customHeight="1">
      <c r="A63" s="23">
        <v>45588.0</v>
      </c>
      <c r="B63" s="25"/>
      <c r="C63" s="25"/>
      <c r="D63" s="25"/>
      <c r="E63" s="27">
        <v>43.0</v>
      </c>
      <c r="F63" s="25"/>
      <c r="G63" s="25"/>
      <c r="H63" s="25"/>
      <c r="I63" s="27">
        <v>12.0</v>
      </c>
      <c r="J63" s="27">
        <v>13.0</v>
      </c>
      <c r="K63" s="26"/>
      <c r="L63" s="25"/>
      <c r="M63" s="25"/>
      <c r="N63" s="25"/>
      <c r="O63" s="25"/>
      <c r="P63" s="25"/>
      <c r="Q63" s="26"/>
      <c r="R63" s="25"/>
      <c r="S63" s="25"/>
      <c r="T63" s="25"/>
      <c r="U63" s="25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>
        <f t="shared" si="4"/>
        <v>68</v>
      </c>
    </row>
    <row r="64" ht="22.5" customHeight="1">
      <c r="A64" s="9">
        <v>45586.0</v>
      </c>
      <c r="B64" s="11">
        <v>17.0</v>
      </c>
      <c r="C64" s="11">
        <v>2.0</v>
      </c>
      <c r="D64" s="11">
        <v>27.0</v>
      </c>
      <c r="E64" s="11">
        <v>0.0</v>
      </c>
      <c r="F64" s="11">
        <v>40.0</v>
      </c>
      <c r="G64" s="11">
        <v>9.0</v>
      </c>
      <c r="H64" s="11">
        <v>29.0</v>
      </c>
      <c r="I64" s="11">
        <v>0.0</v>
      </c>
      <c r="J64" s="11">
        <v>0.0</v>
      </c>
      <c r="K64" s="21"/>
      <c r="L64" s="11">
        <v>5.0</v>
      </c>
      <c r="M64" s="11">
        <v>13.0</v>
      </c>
      <c r="N64" s="11">
        <v>0.0</v>
      </c>
      <c r="O64" s="11">
        <v>12.0</v>
      </c>
      <c r="P64" s="11">
        <v>18.0</v>
      </c>
      <c r="Q64" s="11">
        <v>16.0</v>
      </c>
      <c r="R64" s="11">
        <v>17.0</v>
      </c>
      <c r="S64" s="11">
        <v>15.0</v>
      </c>
      <c r="T64" s="11">
        <v>20.0</v>
      </c>
      <c r="U64" s="11">
        <v>0.0</v>
      </c>
      <c r="V64" s="11">
        <v>29.0</v>
      </c>
      <c r="W64" s="11">
        <v>17.0</v>
      </c>
      <c r="X64" s="11"/>
      <c r="Y64" s="11">
        <v>9.0</v>
      </c>
      <c r="Z64" s="11">
        <v>14.0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>
        <f t="shared" si="4"/>
        <v>309</v>
      </c>
    </row>
    <row r="65" ht="22.5" customHeight="1">
      <c r="A65" s="9">
        <v>45579.0</v>
      </c>
      <c r="B65" s="11">
        <v>22.0</v>
      </c>
      <c r="C65" s="11">
        <v>3.0</v>
      </c>
      <c r="D65" s="11">
        <v>29.0</v>
      </c>
      <c r="E65" s="11">
        <v>0.0</v>
      </c>
      <c r="F65" s="11">
        <v>41.0</v>
      </c>
      <c r="G65" s="11">
        <v>18.0</v>
      </c>
      <c r="H65" s="11">
        <v>30.0</v>
      </c>
      <c r="I65" s="11">
        <v>0.0</v>
      </c>
      <c r="J65" s="11">
        <v>0.0</v>
      </c>
      <c r="K65" s="21"/>
      <c r="L65" s="11">
        <v>9.0</v>
      </c>
      <c r="M65" s="11">
        <v>18.0</v>
      </c>
      <c r="N65" s="11">
        <v>0.0</v>
      </c>
      <c r="O65" s="11">
        <v>15.0</v>
      </c>
      <c r="P65" s="11">
        <v>20.0</v>
      </c>
      <c r="Q65" s="11">
        <v>19.0</v>
      </c>
      <c r="R65" s="11">
        <v>18.0</v>
      </c>
      <c r="S65" s="11">
        <v>15.0</v>
      </c>
      <c r="T65" s="11">
        <v>20.0</v>
      </c>
      <c r="U65" s="11">
        <v>0.0</v>
      </c>
      <c r="V65" s="11">
        <v>29.0</v>
      </c>
      <c r="W65" s="11">
        <v>18.0</v>
      </c>
      <c r="X65" s="11"/>
      <c r="Y65" s="11">
        <v>9.0</v>
      </c>
      <c r="Z65" s="11">
        <v>14.0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>
        <f t="shared" si="4"/>
        <v>347</v>
      </c>
    </row>
    <row r="66" ht="22.5" customHeight="1">
      <c r="A66" s="9">
        <v>45572.0</v>
      </c>
      <c r="B66" s="11">
        <v>30.0</v>
      </c>
      <c r="C66" s="11">
        <v>5.0</v>
      </c>
      <c r="D66" s="11">
        <v>33.0</v>
      </c>
      <c r="E66" s="11">
        <v>0.0</v>
      </c>
      <c r="F66" s="11">
        <v>43.0</v>
      </c>
      <c r="G66" s="11">
        <v>14.0</v>
      </c>
      <c r="H66" s="11">
        <v>31.0</v>
      </c>
      <c r="I66" s="11">
        <v>0.0</v>
      </c>
      <c r="K66" s="21"/>
      <c r="L66" s="11">
        <v>13.0</v>
      </c>
      <c r="M66" s="11">
        <v>21.0</v>
      </c>
      <c r="N66" s="11">
        <v>2.0</v>
      </c>
      <c r="O66" s="11">
        <v>17.0</v>
      </c>
      <c r="P66" s="11">
        <v>20.0</v>
      </c>
      <c r="Q66" s="11">
        <v>18.0</v>
      </c>
      <c r="R66" s="11">
        <v>20.0</v>
      </c>
      <c r="S66" s="11">
        <v>18.0</v>
      </c>
      <c r="T66" s="11">
        <v>22.0</v>
      </c>
      <c r="U66" s="11">
        <v>0.0</v>
      </c>
      <c r="V66" s="11">
        <v>30.0</v>
      </c>
      <c r="W66" s="11">
        <v>21.0</v>
      </c>
      <c r="X66" s="11"/>
      <c r="Y66" s="11">
        <v>14.0</v>
      </c>
      <c r="Z66" s="11">
        <v>14.0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>
        <f t="shared" si="4"/>
        <v>386</v>
      </c>
    </row>
    <row r="67" ht="22.5" customHeight="1">
      <c r="A67" s="23">
        <v>45568.0</v>
      </c>
      <c r="B67" s="25"/>
      <c r="C67" s="25"/>
      <c r="D67" s="25"/>
      <c r="E67" s="25"/>
      <c r="F67" s="25"/>
      <c r="G67" s="25"/>
      <c r="H67" s="25"/>
      <c r="I67" s="25"/>
      <c r="J67" s="26"/>
      <c r="K67" s="26"/>
      <c r="L67" s="25"/>
      <c r="M67" s="25"/>
      <c r="N67" s="25"/>
      <c r="O67" s="25"/>
      <c r="P67" s="25"/>
      <c r="Q67" s="26"/>
      <c r="R67" s="25"/>
      <c r="S67" s="25"/>
      <c r="T67" s="25"/>
      <c r="U67" s="25"/>
      <c r="V67" s="27">
        <v>30.0</v>
      </c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>
        <f t="shared" si="4"/>
        <v>30</v>
      </c>
    </row>
    <row r="68" ht="22.5" customHeight="1">
      <c r="A68" s="9">
        <v>45566.0</v>
      </c>
      <c r="B68" s="11">
        <v>34.0</v>
      </c>
      <c r="C68" s="11">
        <v>6.0</v>
      </c>
      <c r="D68" s="11">
        <v>33.0</v>
      </c>
      <c r="E68" s="11">
        <v>0.0</v>
      </c>
      <c r="F68" s="11">
        <v>44.0</v>
      </c>
      <c r="G68" s="11">
        <v>15.0</v>
      </c>
      <c r="H68" s="11">
        <v>31.0</v>
      </c>
      <c r="I68" s="11">
        <v>0.0</v>
      </c>
      <c r="K68" s="21"/>
      <c r="L68" s="11">
        <v>13.0</v>
      </c>
      <c r="M68" s="11">
        <v>23.0</v>
      </c>
      <c r="N68" s="11">
        <v>3.0</v>
      </c>
      <c r="O68" s="11">
        <v>17.0</v>
      </c>
      <c r="P68" s="11">
        <v>21.0</v>
      </c>
      <c r="Q68" s="11">
        <v>20.0</v>
      </c>
      <c r="R68" s="11">
        <v>20.0</v>
      </c>
      <c r="S68" s="11">
        <v>19.0</v>
      </c>
      <c r="T68" s="11">
        <v>23.0</v>
      </c>
      <c r="U68" s="11">
        <v>0.0</v>
      </c>
      <c r="V68" s="11">
        <v>0.0</v>
      </c>
      <c r="W68" s="11">
        <v>21.0</v>
      </c>
      <c r="X68" s="11"/>
      <c r="Y68" s="11">
        <v>15.0</v>
      </c>
      <c r="Z68" s="11">
        <v>14.0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>
        <f t="shared" si="4"/>
        <v>372</v>
      </c>
    </row>
    <row r="69" ht="22.5" customHeight="1">
      <c r="A69" s="23">
        <v>45560.0</v>
      </c>
      <c r="B69" s="27">
        <v>30.0</v>
      </c>
      <c r="C69" s="25"/>
      <c r="D69" s="25"/>
      <c r="E69" s="25"/>
      <c r="F69" s="27">
        <v>45.0</v>
      </c>
      <c r="G69" s="25"/>
      <c r="H69" s="25"/>
      <c r="I69" s="25"/>
      <c r="J69" s="26"/>
      <c r="K69" s="26"/>
      <c r="L69" s="25"/>
      <c r="M69" s="25"/>
      <c r="N69" s="25"/>
      <c r="O69" s="25"/>
      <c r="P69" s="25"/>
      <c r="Q69" s="26"/>
      <c r="R69" s="25"/>
      <c r="S69" s="25"/>
      <c r="T69" s="25"/>
      <c r="U69" s="25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>
        <f t="shared" si="4"/>
        <v>75</v>
      </c>
    </row>
    <row r="70" ht="22.5" customHeight="1">
      <c r="A70" s="23">
        <v>45547.0</v>
      </c>
      <c r="B70" s="25"/>
      <c r="C70" s="25"/>
      <c r="D70" s="25"/>
      <c r="E70" s="25"/>
      <c r="F70" s="25"/>
      <c r="G70" s="25"/>
      <c r="H70" s="25"/>
      <c r="I70" s="25"/>
      <c r="J70" s="26"/>
      <c r="K70" s="26"/>
      <c r="L70" s="25"/>
      <c r="M70" s="27">
        <v>37.0</v>
      </c>
      <c r="N70" s="25"/>
      <c r="O70" s="25"/>
      <c r="P70" s="25"/>
      <c r="Q70" s="27">
        <v>26.0</v>
      </c>
      <c r="R70" s="27">
        <v>24.0</v>
      </c>
      <c r="S70" s="27">
        <v>24.0</v>
      </c>
      <c r="T70" s="27">
        <v>24.0</v>
      </c>
      <c r="U70" s="25"/>
      <c r="V70" s="26"/>
      <c r="W70" s="27">
        <v>24.0</v>
      </c>
      <c r="X70" s="27"/>
      <c r="Y70" s="27">
        <v>16.0</v>
      </c>
      <c r="Z70" s="27">
        <v>15.0</v>
      </c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>
        <f t="shared" si="4"/>
        <v>190</v>
      </c>
    </row>
    <row r="71" ht="22.5" customHeight="1">
      <c r="A71" s="23">
        <v>45539.0</v>
      </c>
      <c r="B71" s="25"/>
      <c r="C71" s="25"/>
      <c r="D71" s="25"/>
      <c r="E71" s="25"/>
      <c r="F71" s="25"/>
      <c r="G71" s="25"/>
      <c r="H71" s="25"/>
      <c r="I71" s="25"/>
      <c r="J71" s="26"/>
      <c r="K71" s="26"/>
      <c r="L71" s="27">
        <v>19.0</v>
      </c>
      <c r="M71" s="25"/>
      <c r="N71" s="25"/>
      <c r="O71" s="25"/>
      <c r="P71" s="25"/>
      <c r="Q71" s="26"/>
      <c r="R71" s="25"/>
      <c r="S71" s="25"/>
      <c r="T71" s="25"/>
      <c r="U71" s="25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>
        <f t="shared" si="4"/>
        <v>19</v>
      </c>
    </row>
    <row r="72" ht="22.5" customHeight="1">
      <c r="A72" s="9">
        <v>45536.0</v>
      </c>
      <c r="B72" s="11">
        <v>40.0</v>
      </c>
      <c r="C72" s="11">
        <v>15.0</v>
      </c>
      <c r="D72" s="11">
        <v>41.0</v>
      </c>
      <c r="E72" s="11">
        <v>0.0</v>
      </c>
      <c r="F72" s="11">
        <v>0.0</v>
      </c>
      <c r="G72" s="11">
        <v>27.0</v>
      </c>
      <c r="H72" s="11">
        <v>36.0</v>
      </c>
      <c r="I72" s="11">
        <v>0.0</v>
      </c>
      <c r="K72" s="21"/>
      <c r="L72" s="11">
        <v>4.0</v>
      </c>
      <c r="M72" s="11">
        <v>11.0</v>
      </c>
      <c r="N72" s="11">
        <v>15.0</v>
      </c>
      <c r="O72" s="11">
        <v>17.0</v>
      </c>
      <c r="P72" s="11">
        <v>21.0</v>
      </c>
      <c r="R72" s="11">
        <v>0.0</v>
      </c>
      <c r="S72" s="11">
        <v>0.0</v>
      </c>
      <c r="T72" s="11">
        <v>0.0</v>
      </c>
      <c r="U72" s="11">
        <v>0.0</v>
      </c>
      <c r="V72" s="11">
        <v>0.0</v>
      </c>
      <c r="W72" s="11">
        <v>0.0</v>
      </c>
      <c r="X72" s="11"/>
      <c r="Y72" s="11">
        <v>0.0</v>
      </c>
      <c r="Z72" s="11">
        <v>0.0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>
        <f t="shared" si="4"/>
        <v>227</v>
      </c>
    </row>
    <row r="73" ht="22.5" customHeight="1">
      <c r="A73" s="23">
        <v>45531.0</v>
      </c>
      <c r="B73" s="27">
        <v>40.0</v>
      </c>
      <c r="C73" s="25"/>
      <c r="D73" s="25"/>
      <c r="E73" s="25"/>
      <c r="F73" s="25"/>
      <c r="G73" s="25"/>
      <c r="H73" s="25"/>
      <c r="I73" s="25"/>
      <c r="J73" s="26"/>
      <c r="K73" s="26"/>
      <c r="L73" s="25"/>
      <c r="M73" s="25"/>
      <c r="N73" s="25"/>
      <c r="O73" s="25"/>
      <c r="P73" s="25"/>
      <c r="Q73" s="26"/>
      <c r="R73" s="25"/>
      <c r="S73" s="25"/>
      <c r="T73" s="25"/>
      <c r="U73" s="25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>
        <f t="shared" si="4"/>
        <v>40</v>
      </c>
    </row>
    <row r="74" ht="22.5" customHeight="1">
      <c r="A74" s="9">
        <v>45530.0</v>
      </c>
      <c r="B74" s="11">
        <v>0.0</v>
      </c>
      <c r="C74" s="11">
        <v>15.0</v>
      </c>
      <c r="D74" s="11">
        <v>41.0</v>
      </c>
      <c r="E74" s="11">
        <v>0.0</v>
      </c>
      <c r="F74" s="11">
        <v>0.0</v>
      </c>
      <c r="G74" s="11">
        <v>27.0</v>
      </c>
      <c r="H74" s="11">
        <v>36.0</v>
      </c>
      <c r="I74" s="11">
        <v>0.0</v>
      </c>
      <c r="K74" s="21"/>
      <c r="L74" s="11">
        <v>4.0</v>
      </c>
      <c r="M74" s="11">
        <v>11.0</v>
      </c>
      <c r="N74" s="11">
        <v>15.0</v>
      </c>
      <c r="O74" s="11">
        <v>17.0</v>
      </c>
      <c r="P74" s="11">
        <v>21.0</v>
      </c>
      <c r="Q74" s="11"/>
      <c r="R74" s="11">
        <v>0.0</v>
      </c>
      <c r="S74" s="11">
        <v>0.0</v>
      </c>
      <c r="T74" s="17"/>
      <c r="U74" s="17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>
        <f t="shared" si="4"/>
        <v>187</v>
      </c>
    </row>
    <row r="75" ht="22.5" customHeight="1">
      <c r="A75" s="9">
        <v>45523.0</v>
      </c>
      <c r="B75" s="11">
        <v>12.0</v>
      </c>
      <c r="C75" s="11">
        <v>20.0</v>
      </c>
      <c r="D75" s="11">
        <v>46.0</v>
      </c>
      <c r="E75" s="11">
        <v>0.0</v>
      </c>
      <c r="F75" s="11">
        <v>1.0</v>
      </c>
      <c r="G75" s="11">
        <v>30.0</v>
      </c>
      <c r="H75" s="11">
        <v>36.0</v>
      </c>
      <c r="I75" s="11">
        <v>0.0</v>
      </c>
      <c r="K75" s="21"/>
      <c r="L75" s="11">
        <v>8.0</v>
      </c>
      <c r="M75" s="11">
        <v>19.0</v>
      </c>
      <c r="N75" s="11">
        <v>18.0</v>
      </c>
      <c r="O75" s="11">
        <v>23.0</v>
      </c>
      <c r="P75" s="11">
        <v>22.0</v>
      </c>
      <c r="Q75" s="11"/>
      <c r="R75" s="11">
        <v>0.0</v>
      </c>
      <c r="S75" s="11">
        <v>0.0</v>
      </c>
      <c r="T75" s="17"/>
      <c r="U75" s="17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>
        <f t="shared" si="4"/>
        <v>235</v>
      </c>
    </row>
    <row r="76" ht="22.5" customHeight="1">
      <c r="A76" s="23">
        <v>45516.0</v>
      </c>
      <c r="B76" s="27"/>
      <c r="C76" s="27"/>
      <c r="D76" s="27"/>
      <c r="E76" s="27"/>
      <c r="F76" s="27"/>
      <c r="G76" s="27"/>
      <c r="H76" s="27">
        <v>38.0</v>
      </c>
      <c r="I76" s="27"/>
      <c r="J76" s="26"/>
      <c r="K76" s="26"/>
      <c r="L76" s="27"/>
      <c r="M76" s="27"/>
      <c r="N76" s="27"/>
      <c r="O76" s="27"/>
      <c r="P76" s="27"/>
      <c r="Q76" s="27"/>
      <c r="R76" s="27"/>
      <c r="S76" s="27"/>
      <c r="T76" s="25"/>
      <c r="U76" s="25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>
        <f t="shared" si="4"/>
        <v>38</v>
      </c>
    </row>
    <row r="77" ht="22.5" customHeight="1">
      <c r="A77" s="9">
        <v>45516.0</v>
      </c>
      <c r="B77" s="11">
        <v>23.0</v>
      </c>
      <c r="C77" s="11">
        <v>24.0</v>
      </c>
      <c r="D77" s="11">
        <v>52.0</v>
      </c>
      <c r="E77" s="11">
        <v>1.0</v>
      </c>
      <c r="F77" s="11">
        <v>1.0</v>
      </c>
      <c r="G77" s="11">
        <v>34.0</v>
      </c>
      <c r="H77" s="11">
        <v>38.0</v>
      </c>
      <c r="I77" s="11">
        <v>0.0</v>
      </c>
      <c r="K77" s="21"/>
      <c r="L77" s="11">
        <v>9.0</v>
      </c>
      <c r="M77" s="11">
        <v>21.0</v>
      </c>
      <c r="N77" s="11">
        <v>20.0</v>
      </c>
      <c r="O77" s="11">
        <v>26.0</v>
      </c>
      <c r="P77" s="11">
        <v>23.0</v>
      </c>
      <c r="Q77" s="11"/>
      <c r="R77" s="11">
        <v>0.0</v>
      </c>
      <c r="S77" s="11">
        <v>0.0</v>
      </c>
      <c r="T77" s="17"/>
      <c r="U77" s="17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>
        <f t="shared" si="4"/>
        <v>272</v>
      </c>
    </row>
    <row r="78" ht="22.5" customHeight="1">
      <c r="A78" s="9">
        <v>45509.0</v>
      </c>
      <c r="B78" s="11">
        <v>28.0</v>
      </c>
      <c r="C78" s="11">
        <v>23.0</v>
      </c>
      <c r="D78" s="11">
        <v>53.0</v>
      </c>
      <c r="E78" s="11">
        <v>1.0</v>
      </c>
      <c r="F78" s="11">
        <v>1.0</v>
      </c>
      <c r="G78" s="11">
        <v>38.0</v>
      </c>
      <c r="H78" s="11">
        <v>0.0</v>
      </c>
      <c r="I78" s="11">
        <v>0.0</v>
      </c>
      <c r="K78" s="21"/>
      <c r="L78" s="11">
        <v>10.0</v>
      </c>
      <c r="M78" s="11">
        <v>27.0</v>
      </c>
      <c r="N78" s="11">
        <v>23.0</v>
      </c>
      <c r="O78" s="11">
        <v>27.0</v>
      </c>
      <c r="P78" s="11">
        <v>24.0</v>
      </c>
      <c r="Q78" s="11"/>
      <c r="R78" s="11">
        <v>0.0</v>
      </c>
      <c r="S78" s="11">
        <v>0.0</v>
      </c>
      <c r="T78" s="17"/>
      <c r="U78" s="17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>
        <f t="shared" si="4"/>
        <v>255</v>
      </c>
    </row>
    <row r="79" ht="22.5" customHeight="1">
      <c r="A79" s="12">
        <v>45507.0</v>
      </c>
      <c r="B79" s="15"/>
      <c r="C79" s="15"/>
      <c r="D79" s="14">
        <v>51.0</v>
      </c>
      <c r="E79" s="15"/>
      <c r="F79" s="15"/>
      <c r="G79" s="15"/>
      <c r="H79" s="15"/>
      <c r="I79" s="15"/>
      <c r="J79" s="16"/>
      <c r="K79" s="34"/>
      <c r="L79" s="15"/>
      <c r="M79" s="15"/>
      <c r="N79" s="15"/>
      <c r="O79" s="15"/>
      <c r="P79" s="15"/>
      <c r="Q79" s="16"/>
      <c r="R79" s="15"/>
      <c r="S79" s="15"/>
      <c r="T79" s="15"/>
      <c r="U79" s="15"/>
      <c r="V79" s="16"/>
      <c r="W79" s="16"/>
      <c r="X79" s="16"/>
      <c r="Y79" s="16"/>
      <c r="Z79" s="16"/>
      <c r="AA79" s="16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>
        <f t="shared" si="4"/>
        <v>51</v>
      </c>
    </row>
    <row r="80" ht="22.5" customHeight="1">
      <c r="A80" s="9">
        <v>45505.0</v>
      </c>
      <c r="B80" s="11">
        <v>32.0</v>
      </c>
      <c r="C80" s="11">
        <v>24.0</v>
      </c>
      <c r="D80" s="11">
        <v>6.0</v>
      </c>
      <c r="E80" s="11">
        <v>1.0</v>
      </c>
      <c r="F80" s="11">
        <v>4.0</v>
      </c>
      <c r="G80" s="11">
        <v>41.0</v>
      </c>
      <c r="H80" s="11">
        <v>0.0</v>
      </c>
      <c r="I80" s="11">
        <v>0.0</v>
      </c>
      <c r="K80" s="21"/>
      <c r="L80" s="11">
        <v>11.0</v>
      </c>
      <c r="M80" s="11">
        <v>31.0</v>
      </c>
      <c r="N80" s="11">
        <v>24.0</v>
      </c>
      <c r="O80" s="11">
        <v>29.0</v>
      </c>
      <c r="P80" s="11">
        <v>24.0</v>
      </c>
      <c r="Q80" s="11"/>
      <c r="R80" s="11">
        <v>0.0</v>
      </c>
      <c r="S80" s="11">
        <v>0.0</v>
      </c>
      <c r="T80" s="17"/>
      <c r="U80" s="17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>
        <f t="shared" si="4"/>
        <v>227</v>
      </c>
    </row>
    <row r="81" ht="22.5" customHeight="1">
      <c r="A81" s="9">
        <v>45502.0</v>
      </c>
      <c r="B81" s="11">
        <v>32.0</v>
      </c>
      <c r="C81" s="11">
        <v>24.0</v>
      </c>
      <c r="D81" s="11">
        <v>6.0</v>
      </c>
      <c r="E81" s="11">
        <v>1.0</v>
      </c>
      <c r="F81" s="11">
        <v>4.0</v>
      </c>
      <c r="G81" s="11">
        <v>42.0</v>
      </c>
      <c r="H81" s="11">
        <v>0.0</v>
      </c>
      <c r="I81" s="11">
        <v>0.0</v>
      </c>
      <c r="K81" s="21"/>
      <c r="L81" s="11">
        <v>12.0</v>
      </c>
      <c r="M81" s="11">
        <v>32.0</v>
      </c>
      <c r="N81" s="11">
        <v>25.0</v>
      </c>
      <c r="O81" s="11">
        <v>29.0</v>
      </c>
      <c r="P81" s="11">
        <v>25.0</v>
      </c>
      <c r="Q81" s="11"/>
      <c r="R81" s="11">
        <v>0.0</v>
      </c>
      <c r="S81" s="11">
        <v>0.0</v>
      </c>
      <c r="T81" s="17"/>
      <c r="U81" s="17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>
        <f t="shared" si="4"/>
        <v>232</v>
      </c>
    </row>
    <row r="82" ht="22.5" customHeight="1">
      <c r="A82" s="9">
        <v>45495.0</v>
      </c>
      <c r="B82" s="11">
        <v>41.0</v>
      </c>
      <c r="C82" s="11">
        <v>26.0</v>
      </c>
      <c r="D82" s="11">
        <v>10.0</v>
      </c>
      <c r="E82" s="11">
        <v>5.0</v>
      </c>
      <c r="F82" s="11">
        <v>8.0</v>
      </c>
      <c r="G82" s="11">
        <v>47.0</v>
      </c>
      <c r="H82" s="11">
        <v>0.0</v>
      </c>
      <c r="I82" s="11">
        <v>0.0</v>
      </c>
      <c r="K82" s="21"/>
      <c r="L82" s="11">
        <v>14.0</v>
      </c>
      <c r="M82" s="11">
        <v>35.0</v>
      </c>
      <c r="N82" s="11">
        <v>28.0</v>
      </c>
      <c r="O82" s="11">
        <v>30.0</v>
      </c>
      <c r="P82" s="11">
        <v>26.0</v>
      </c>
      <c r="Q82" s="11"/>
      <c r="R82" s="11">
        <v>0.0</v>
      </c>
      <c r="S82" s="11">
        <v>0.0</v>
      </c>
      <c r="T82" s="17"/>
      <c r="U82" s="17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>
        <f t="shared" si="4"/>
        <v>270</v>
      </c>
    </row>
    <row r="83" ht="22.5" customHeight="1">
      <c r="A83" s="12">
        <v>45489.0</v>
      </c>
      <c r="B83" s="14">
        <v>58.0</v>
      </c>
      <c r="C83" s="15"/>
      <c r="D83" s="15"/>
      <c r="E83" s="15"/>
      <c r="F83" s="15"/>
      <c r="G83" s="15"/>
      <c r="H83" s="15"/>
      <c r="I83" s="15"/>
      <c r="J83" s="16"/>
      <c r="K83" s="34"/>
      <c r="L83" s="15"/>
      <c r="M83" s="15"/>
      <c r="N83" s="14">
        <v>32.0</v>
      </c>
      <c r="O83" s="14">
        <v>34.0</v>
      </c>
      <c r="P83" s="14">
        <v>29.0</v>
      </c>
      <c r="Q83" s="14"/>
      <c r="R83" s="15"/>
      <c r="S83" s="15"/>
      <c r="T83" s="15"/>
      <c r="U83" s="15"/>
      <c r="V83" s="16"/>
      <c r="W83" s="16"/>
      <c r="X83" s="16"/>
      <c r="Y83" s="16"/>
      <c r="Z83" s="16"/>
      <c r="AA83" s="16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>
        <f t="shared" si="4"/>
        <v>153</v>
      </c>
    </row>
    <row r="84" ht="22.5" customHeight="1">
      <c r="A84" s="9">
        <v>45474.0</v>
      </c>
      <c r="B84" s="11">
        <v>6.0</v>
      </c>
      <c r="C84" s="11">
        <v>32.0</v>
      </c>
      <c r="D84" s="11">
        <v>23.0</v>
      </c>
      <c r="E84" s="11">
        <v>6.0</v>
      </c>
      <c r="F84" s="11">
        <v>15.0</v>
      </c>
      <c r="G84" s="11">
        <v>64.0</v>
      </c>
      <c r="H84" s="11">
        <v>0.0</v>
      </c>
      <c r="I84" s="11">
        <v>2.0</v>
      </c>
      <c r="K84" s="21"/>
      <c r="L84" s="11">
        <v>19.0</v>
      </c>
      <c r="M84" s="11">
        <v>46.0</v>
      </c>
      <c r="N84" s="11"/>
      <c r="O84" s="11"/>
      <c r="P84" s="11"/>
      <c r="Q84" s="11"/>
      <c r="R84" s="11">
        <v>9.0</v>
      </c>
      <c r="S84" s="11">
        <v>0.0</v>
      </c>
      <c r="T84" s="17"/>
      <c r="U84" s="17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>
        <f t="shared" si="4"/>
        <v>222</v>
      </c>
    </row>
    <row r="85" ht="22.5" customHeight="1">
      <c r="A85" s="12">
        <v>45465.0</v>
      </c>
      <c r="B85" s="15"/>
      <c r="C85" s="15"/>
      <c r="D85" s="15"/>
      <c r="E85" s="15"/>
      <c r="F85" s="15"/>
      <c r="G85" s="14">
        <v>72.0</v>
      </c>
      <c r="H85" s="15"/>
      <c r="I85" s="15"/>
      <c r="J85" s="16"/>
      <c r="K85" s="34"/>
      <c r="L85" s="15"/>
      <c r="M85" s="15"/>
      <c r="N85" s="15"/>
      <c r="O85" s="15"/>
      <c r="P85" s="15"/>
      <c r="Q85" s="16"/>
      <c r="R85" s="15"/>
      <c r="S85" s="15"/>
      <c r="T85" s="15"/>
      <c r="U85" s="15"/>
      <c r="V85" s="16"/>
      <c r="W85" s="16"/>
      <c r="X85" s="16"/>
      <c r="Y85" s="16"/>
      <c r="Z85" s="16"/>
      <c r="AA85" s="16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>
        <f t="shared" si="4"/>
        <v>72</v>
      </c>
    </row>
    <row r="86" ht="22.5" customHeight="1">
      <c r="A86" s="12">
        <v>45463.0</v>
      </c>
      <c r="B86" s="15"/>
      <c r="C86" s="15"/>
      <c r="D86" s="15"/>
      <c r="E86" s="15"/>
      <c r="F86" s="15"/>
      <c r="G86" s="15"/>
      <c r="H86" s="15"/>
      <c r="I86" s="15"/>
      <c r="J86" s="16"/>
      <c r="K86" s="34"/>
      <c r="L86" s="15"/>
      <c r="M86" s="14">
        <v>49.0</v>
      </c>
      <c r="N86" s="15"/>
      <c r="O86" s="15"/>
      <c r="P86" s="15"/>
      <c r="Q86" s="16"/>
      <c r="R86" s="15"/>
      <c r="S86" s="15"/>
      <c r="T86" s="15"/>
      <c r="U86" s="15"/>
      <c r="V86" s="16"/>
      <c r="W86" s="16"/>
      <c r="X86" s="16"/>
      <c r="Y86" s="16"/>
      <c r="Z86" s="16"/>
      <c r="AA86" s="16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>
        <f t="shared" si="4"/>
        <v>49</v>
      </c>
    </row>
    <row r="87" ht="22.5" customHeight="1">
      <c r="A87" s="12">
        <v>45447.0</v>
      </c>
      <c r="B87" s="15"/>
      <c r="C87" s="15"/>
      <c r="D87" s="15"/>
      <c r="E87" s="15"/>
      <c r="F87" s="15"/>
      <c r="G87" s="15"/>
      <c r="H87" s="15"/>
      <c r="I87" s="15"/>
      <c r="J87" s="16"/>
      <c r="K87" s="34"/>
      <c r="L87" s="15"/>
      <c r="M87" s="15"/>
      <c r="N87" s="14"/>
      <c r="O87" s="14"/>
      <c r="P87" s="14"/>
      <c r="Q87" s="14"/>
      <c r="R87" s="14">
        <v>24.0</v>
      </c>
      <c r="S87" s="14">
        <v>18.0</v>
      </c>
      <c r="T87" s="15"/>
      <c r="U87" s="15"/>
      <c r="V87" s="16"/>
      <c r="W87" s="16"/>
      <c r="X87" s="16"/>
      <c r="Y87" s="16"/>
      <c r="Z87" s="16"/>
      <c r="AA87" s="16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>
        <f t="shared" si="4"/>
        <v>42</v>
      </c>
    </row>
    <row r="88" ht="22.5" customHeight="1">
      <c r="A88" s="9">
        <v>45446.0</v>
      </c>
      <c r="B88" s="11">
        <v>42.0</v>
      </c>
      <c r="C88" s="11">
        <v>44.0</v>
      </c>
      <c r="D88" s="11">
        <v>42.0</v>
      </c>
      <c r="E88" s="11">
        <v>9.0</v>
      </c>
      <c r="F88" s="11">
        <v>24.0</v>
      </c>
      <c r="G88" s="11">
        <v>18.0</v>
      </c>
      <c r="H88" s="11">
        <v>0.0</v>
      </c>
      <c r="I88" s="11">
        <v>7.0</v>
      </c>
      <c r="K88" s="21"/>
      <c r="L88" s="11">
        <v>30.0</v>
      </c>
      <c r="M88" s="11">
        <v>8.0</v>
      </c>
      <c r="N88" s="17"/>
      <c r="O88" s="17"/>
      <c r="P88" s="17"/>
      <c r="R88" s="17"/>
      <c r="S88" s="17"/>
      <c r="T88" s="11">
        <v>0.0</v>
      </c>
      <c r="U88" s="11">
        <v>0.0</v>
      </c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>
        <f t="shared" si="4"/>
        <v>224</v>
      </c>
    </row>
    <row r="89" ht="22.5" customHeight="1">
      <c r="A89" s="12">
        <v>45437.0</v>
      </c>
      <c r="B89" s="15"/>
      <c r="C89" s="14">
        <v>49.0</v>
      </c>
      <c r="D89" s="15"/>
      <c r="E89" s="15"/>
      <c r="F89" s="15"/>
      <c r="G89" s="15"/>
      <c r="H89" s="15"/>
      <c r="I89" s="15"/>
      <c r="J89" s="16"/>
      <c r="K89" s="34"/>
      <c r="L89" s="15"/>
      <c r="M89" s="15"/>
      <c r="N89" s="15"/>
      <c r="O89" s="15"/>
      <c r="P89" s="15"/>
      <c r="Q89" s="16"/>
      <c r="R89" s="15"/>
      <c r="S89" s="15"/>
      <c r="T89" s="15"/>
      <c r="U89" s="15"/>
      <c r="V89" s="16"/>
      <c r="W89" s="16"/>
      <c r="X89" s="16"/>
      <c r="Y89" s="16"/>
      <c r="Z89" s="16"/>
      <c r="AA89" s="16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>
        <f t="shared" si="4"/>
        <v>49</v>
      </c>
    </row>
    <row r="90" ht="22.5" customHeight="1">
      <c r="A90" s="9">
        <v>45432.0</v>
      </c>
      <c r="B90" s="11">
        <v>59.0</v>
      </c>
      <c r="C90" s="11">
        <v>0.0</v>
      </c>
      <c r="D90" s="11">
        <v>49.0</v>
      </c>
      <c r="E90" s="11">
        <v>12.0</v>
      </c>
      <c r="F90" s="11">
        <v>25.0</v>
      </c>
      <c r="G90" s="11">
        <v>24.0</v>
      </c>
      <c r="H90" s="11">
        <v>0.0</v>
      </c>
      <c r="I90" s="11">
        <v>9.0</v>
      </c>
      <c r="K90" s="21"/>
      <c r="L90" s="11">
        <v>37.0</v>
      </c>
      <c r="M90" s="11">
        <v>20.0</v>
      </c>
      <c r="N90" s="17"/>
      <c r="O90" s="17"/>
      <c r="P90" s="17"/>
      <c r="R90" s="17"/>
      <c r="S90" s="17"/>
      <c r="T90" s="11">
        <v>0.0</v>
      </c>
      <c r="U90" s="11">
        <v>0.0</v>
      </c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>
        <f t="shared" si="4"/>
        <v>235</v>
      </c>
    </row>
    <row r="91" ht="22.5" customHeight="1">
      <c r="A91" s="6">
        <v>45422.0</v>
      </c>
      <c r="B91" s="35"/>
      <c r="C91" s="35"/>
      <c r="D91" s="35"/>
      <c r="E91" s="35"/>
      <c r="F91" s="35"/>
      <c r="G91" s="8">
        <v>51.0</v>
      </c>
      <c r="H91" s="35"/>
      <c r="I91" s="35"/>
      <c r="J91" s="36"/>
      <c r="K91" s="37"/>
      <c r="L91" s="35"/>
      <c r="M91" s="35"/>
      <c r="N91" s="35"/>
      <c r="O91" s="35"/>
      <c r="P91" s="35"/>
      <c r="Q91" s="36"/>
      <c r="R91" s="35"/>
      <c r="S91" s="35"/>
      <c r="T91" s="35"/>
      <c r="U91" s="35"/>
      <c r="V91" s="36"/>
      <c r="W91" s="36"/>
      <c r="X91" s="36"/>
      <c r="Y91" s="36"/>
      <c r="Z91" s="36"/>
      <c r="AA91" s="36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>
        <f t="shared" si="4"/>
        <v>51</v>
      </c>
    </row>
    <row r="92" ht="22.5" customHeight="1">
      <c r="A92" s="9">
        <v>45418.0</v>
      </c>
      <c r="B92" s="11">
        <v>85.0</v>
      </c>
      <c r="C92" s="11">
        <v>5.0</v>
      </c>
      <c r="D92" s="11">
        <v>62.0</v>
      </c>
      <c r="E92" s="11">
        <v>13.0</v>
      </c>
      <c r="F92" s="11">
        <v>30.0</v>
      </c>
      <c r="G92" s="11">
        <v>1.0</v>
      </c>
      <c r="H92" s="11">
        <v>0.0</v>
      </c>
      <c r="I92" s="11">
        <v>13.0</v>
      </c>
      <c r="K92" s="21"/>
      <c r="L92" s="11">
        <v>43.0</v>
      </c>
      <c r="M92" s="11">
        <v>27.0</v>
      </c>
      <c r="N92" s="17"/>
      <c r="O92" s="17"/>
      <c r="P92" s="17"/>
      <c r="R92" s="17"/>
      <c r="S92" s="17"/>
      <c r="T92" s="11">
        <v>0.0</v>
      </c>
      <c r="U92" s="11">
        <v>0.0</v>
      </c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>
        <f t="shared" si="4"/>
        <v>279</v>
      </c>
    </row>
    <row r="93" ht="22.5" customHeight="1">
      <c r="A93" s="38">
        <v>45414.0</v>
      </c>
      <c r="B93" s="39">
        <v>88.0</v>
      </c>
      <c r="C93" s="40"/>
      <c r="D93" s="39">
        <v>51.0</v>
      </c>
      <c r="E93" s="40"/>
      <c r="F93" s="40"/>
      <c r="G93" s="40"/>
      <c r="H93" s="40"/>
      <c r="I93" s="40"/>
      <c r="J93" s="41"/>
      <c r="K93" s="42"/>
      <c r="L93" s="40"/>
      <c r="M93" s="40"/>
      <c r="N93" s="40"/>
      <c r="O93" s="40"/>
      <c r="P93" s="40"/>
      <c r="Q93" s="41"/>
      <c r="R93" s="40"/>
      <c r="S93" s="40"/>
      <c r="T93" s="40"/>
      <c r="U93" s="40"/>
      <c r="V93" s="41"/>
      <c r="W93" s="41"/>
      <c r="X93" s="41"/>
      <c r="Y93" s="41"/>
      <c r="Z93" s="41"/>
      <c r="AA93" s="41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>
        <f t="shared" si="4"/>
        <v>139</v>
      </c>
    </row>
    <row r="94" ht="22.5" customHeight="1">
      <c r="A94" s="9">
        <v>45411.0</v>
      </c>
      <c r="B94" s="11">
        <v>5.0</v>
      </c>
      <c r="C94" s="11">
        <v>8.0</v>
      </c>
      <c r="D94" s="11">
        <v>18.0</v>
      </c>
      <c r="E94" s="11">
        <v>15.0</v>
      </c>
      <c r="F94" s="11">
        <v>35.0</v>
      </c>
      <c r="G94" s="11">
        <v>5.0</v>
      </c>
      <c r="H94" s="11">
        <v>0.0</v>
      </c>
      <c r="I94" s="11">
        <v>14.0</v>
      </c>
      <c r="K94" s="21"/>
      <c r="L94" s="11">
        <v>47.0</v>
      </c>
      <c r="M94" s="11">
        <v>33.0</v>
      </c>
      <c r="N94" s="17"/>
      <c r="O94" s="17"/>
      <c r="P94" s="17"/>
      <c r="R94" s="17"/>
      <c r="S94" s="17"/>
      <c r="T94" s="11">
        <v>0.0</v>
      </c>
      <c r="U94" s="11">
        <v>0.0</v>
      </c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>
        <f t="shared" si="4"/>
        <v>180</v>
      </c>
    </row>
    <row r="95" ht="22.5" customHeight="1">
      <c r="A95" s="12">
        <v>45399.0</v>
      </c>
      <c r="B95" s="15"/>
      <c r="C95" s="15"/>
      <c r="D95" s="15"/>
      <c r="E95" s="15"/>
      <c r="F95" s="15"/>
      <c r="G95" s="15"/>
      <c r="H95" s="15"/>
      <c r="I95" s="15"/>
      <c r="J95" s="16"/>
      <c r="K95" s="34"/>
      <c r="L95" s="14">
        <v>55.0</v>
      </c>
      <c r="M95" s="14">
        <v>50.0</v>
      </c>
      <c r="N95" s="15"/>
      <c r="O95" s="15"/>
      <c r="P95" s="15"/>
      <c r="Q95" s="16"/>
      <c r="R95" s="15"/>
      <c r="S95" s="15"/>
      <c r="T95" s="15"/>
      <c r="U95" s="15"/>
      <c r="V95" s="16"/>
      <c r="W95" s="16"/>
      <c r="X95" s="16"/>
      <c r="Y95" s="16"/>
      <c r="Z95" s="16"/>
      <c r="AA95" s="16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>
        <f t="shared" si="4"/>
        <v>105</v>
      </c>
    </row>
    <row r="96" ht="22.5" customHeight="1">
      <c r="A96" s="9">
        <v>45397.0</v>
      </c>
      <c r="B96" s="11">
        <v>38.0</v>
      </c>
      <c r="C96" s="11">
        <v>16.0</v>
      </c>
      <c r="D96" s="11">
        <v>32.0</v>
      </c>
      <c r="E96" s="11">
        <v>20.0</v>
      </c>
      <c r="F96" s="11">
        <v>39.0</v>
      </c>
      <c r="G96" s="11">
        <v>13.0</v>
      </c>
      <c r="H96" s="11">
        <v>0.0</v>
      </c>
      <c r="I96" s="11">
        <v>15.0</v>
      </c>
      <c r="K96" s="21"/>
      <c r="L96" s="11">
        <v>0.0</v>
      </c>
      <c r="M96" s="11">
        <v>1.0</v>
      </c>
      <c r="N96" s="17"/>
      <c r="O96" s="17"/>
      <c r="P96" s="17"/>
      <c r="R96" s="17"/>
      <c r="S96" s="17"/>
      <c r="T96" s="11">
        <v>0.0</v>
      </c>
      <c r="U96" s="11">
        <v>0.0</v>
      </c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>
        <f t="shared" si="4"/>
        <v>174</v>
      </c>
    </row>
    <row r="97" ht="22.5" customHeight="1">
      <c r="A97" s="12">
        <v>45395.0</v>
      </c>
      <c r="B97" s="15"/>
      <c r="C97" s="15"/>
      <c r="D97" s="15"/>
      <c r="E97" s="15"/>
      <c r="F97" s="14">
        <v>40.0</v>
      </c>
      <c r="G97" s="15"/>
      <c r="H97" s="15"/>
      <c r="I97" s="15"/>
      <c r="J97" s="16"/>
      <c r="K97" s="34"/>
      <c r="L97" s="15"/>
      <c r="M97" s="15"/>
      <c r="N97" s="15"/>
      <c r="O97" s="15"/>
      <c r="P97" s="15"/>
      <c r="Q97" s="16"/>
      <c r="R97" s="15"/>
      <c r="S97" s="15"/>
      <c r="T97" s="15"/>
      <c r="U97" s="15"/>
      <c r="V97" s="16"/>
      <c r="W97" s="16"/>
      <c r="X97" s="16"/>
      <c r="Y97" s="16"/>
      <c r="Z97" s="16"/>
      <c r="AA97" s="16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>
        <f t="shared" si="4"/>
        <v>40</v>
      </c>
    </row>
    <row r="98" ht="22.5" customHeight="1">
      <c r="A98" s="12">
        <v>45394.0</v>
      </c>
      <c r="B98" s="14">
        <v>44.0</v>
      </c>
      <c r="C98" s="15"/>
      <c r="D98" s="15"/>
      <c r="E98" s="15"/>
      <c r="F98" s="15"/>
      <c r="G98" s="15"/>
      <c r="H98" s="15"/>
      <c r="I98" s="15"/>
      <c r="J98" s="16"/>
      <c r="K98" s="34"/>
      <c r="L98" s="15"/>
      <c r="M98" s="15"/>
      <c r="N98" s="15"/>
      <c r="O98" s="15"/>
      <c r="P98" s="15"/>
      <c r="Q98" s="16"/>
      <c r="R98" s="15"/>
      <c r="S98" s="15"/>
      <c r="T98" s="15"/>
      <c r="U98" s="15"/>
      <c r="V98" s="16"/>
      <c r="W98" s="16"/>
      <c r="X98" s="16"/>
      <c r="Y98" s="16"/>
      <c r="Z98" s="16"/>
      <c r="AA98" s="16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>
        <f t="shared" si="4"/>
        <v>44</v>
      </c>
    </row>
    <row r="99" ht="15.0" customHeight="1">
      <c r="A99" s="12">
        <v>45392.0</v>
      </c>
      <c r="B99" s="15"/>
      <c r="C99" s="15"/>
      <c r="D99" s="15"/>
      <c r="E99" s="14">
        <v>22.0</v>
      </c>
      <c r="F99" s="15"/>
      <c r="G99" s="15"/>
      <c r="H99" s="15"/>
      <c r="I99" s="15"/>
      <c r="J99" s="16"/>
      <c r="K99" s="34"/>
      <c r="L99" s="15"/>
      <c r="M99" s="15"/>
      <c r="N99" s="15"/>
      <c r="O99" s="15"/>
      <c r="P99" s="15"/>
      <c r="Q99" s="16"/>
      <c r="R99" s="15"/>
      <c r="S99" s="15"/>
      <c r="T99" s="15"/>
      <c r="U99" s="15"/>
      <c r="V99" s="16"/>
      <c r="W99" s="16"/>
      <c r="X99" s="16"/>
      <c r="Y99" s="16"/>
      <c r="Z99" s="16"/>
      <c r="AA99" s="16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>
        <f t="shared" si="4"/>
        <v>22</v>
      </c>
    </row>
    <row r="100" ht="22.5" customHeight="1">
      <c r="A100" s="9">
        <v>45390.0</v>
      </c>
      <c r="B100" s="11">
        <v>5.0</v>
      </c>
      <c r="C100" s="11">
        <v>19.0</v>
      </c>
      <c r="D100" s="11">
        <v>37.0</v>
      </c>
      <c r="E100" s="11">
        <v>0.0</v>
      </c>
      <c r="F100" s="11">
        <v>0.0</v>
      </c>
      <c r="G100" s="11">
        <v>19.0</v>
      </c>
      <c r="H100" s="11">
        <v>2.0</v>
      </c>
      <c r="I100" s="11">
        <v>15.0</v>
      </c>
      <c r="K100" s="21"/>
      <c r="L100" s="11">
        <v>9.0</v>
      </c>
      <c r="M100" s="11">
        <v>12.0</v>
      </c>
      <c r="N100" s="17"/>
      <c r="O100" s="17"/>
      <c r="P100" s="17"/>
      <c r="R100" s="17"/>
      <c r="S100" s="17"/>
      <c r="T100" s="11">
        <v>2.0</v>
      </c>
      <c r="U100" s="11">
        <v>0.0</v>
      </c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>
        <f t="shared" si="4"/>
        <v>120</v>
      </c>
    </row>
    <row r="101" ht="22.5" customHeight="1">
      <c r="A101" s="9">
        <v>45383.0</v>
      </c>
      <c r="B101" s="11">
        <v>13.0</v>
      </c>
      <c r="C101" s="11">
        <v>21.0</v>
      </c>
      <c r="D101" s="11">
        <v>45.0</v>
      </c>
      <c r="E101" s="11">
        <v>0.0</v>
      </c>
      <c r="F101" s="11">
        <v>0.0</v>
      </c>
      <c r="G101" s="11">
        <v>25.0</v>
      </c>
      <c r="H101" s="11">
        <v>3.0</v>
      </c>
      <c r="I101" s="11">
        <v>16.0</v>
      </c>
      <c r="K101" s="21"/>
      <c r="L101" s="11">
        <v>10.0</v>
      </c>
      <c r="M101" s="11">
        <v>15.0</v>
      </c>
      <c r="N101" s="17"/>
      <c r="O101" s="17"/>
      <c r="P101" s="17"/>
      <c r="R101" s="17"/>
      <c r="S101" s="17"/>
      <c r="T101" s="11">
        <v>2.0</v>
      </c>
      <c r="U101" s="11">
        <v>0.0</v>
      </c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>
        <f t="shared" si="4"/>
        <v>150</v>
      </c>
    </row>
    <row r="102" ht="22.5" customHeight="1">
      <c r="A102" s="12">
        <v>45377.0</v>
      </c>
      <c r="B102" s="15"/>
      <c r="C102" s="15"/>
      <c r="D102" s="14">
        <v>45.0</v>
      </c>
      <c r="E102" s="15"/>
      <c r="F102" s="15"/>
      <c r="G102" s="14">
        <v>35.0</v>
      </c>
      <c r="H102" s="15"/>
      <c r="I102" s="15"/>
      <c r="J102" s="16"/>
      <c r="K102" s="34"/>
      <c r="L102" s="14">
        <v>19.0</v>
      </c>
      <c r="M102" s="15"/>
      <c r="N102" s="15"/>
      <c r="O102" s="15"/>
      <c r="P102" s="15"/>
      <c r="Q102" s="16"/>
      <c r="R102" s="15"/>
      <c r="S102" s="15"/>
      <c r="T102" s="15"/>
      <c r="U102" s="15"/>
      <c r="V102" s="16"/>
      <c r="W102" s="16"/>
      <c r="X102" s="16"/>
      <c r="Y102" s="16"/>
      <c r="Z102" s="16"/>
      <c r="AA102" s="16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>
        <f t="shared" si="4"/>
        <v>99</v>
      </c>
    </row>
    <row r="103" ht="22.5" customHeight="1">
      <c r="A103" s="9">
        <v>45376.0</v>
      </c>
      <c r="B103" s="11">
        <v>25.0</v>
      </c>
      <c r="C103" s="11">
        <v>24.0</v>
      </c>
      <c r="D103" s="11">
        <v>10.0</v>
      </c>
      <c r="E103" s="11">
        <v>0.0</v>
      </c>
      <c r="F103" s="11">
        <v>0.0</v>
      </c>
      <c r="G103" s="11">
        <v>0.0</v>
      </c>
      <c r="H103" s="11">
        <v>8.0</v>
      </c>
      <c r="I103" s="11">
        <v>18.0</v>
      </c>
      <c r="K103" s="21"/>
      <c r="L103" s="11">
        <v>0.0</v>
      </c>
      <c r="M103" s="11">
        <v>21.0</v>
      </c>
      <c r="N103" s="17"/>
      <c r="O103" s="17"/>
      <c r="P103" s="17"/>
      <c r="R103" s="17"/>
      <c r="S103" s="17"/>
      <c r="T103" s="11">
        <v>3.0</v>
      </c>
      <c r="U103" s="11">
        <v>0.0</v>
      </c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>
        <f t="shared" si="4"/>
        <v>109</v>
      </c>
    </row>
    <row r="104" ht="22.5" customHeight="1">
      <c r="A104" s="9">
        <v>45369.0</v>
      </c>
      <c r="B104" s="11">
        <v>34.0</v>
      </c>
      <c r="C104" s="11">
        <v>27.0</v>
      </c>
      <c r="D104" s="11">
        <v>19.0</v>
      </c>
      <c r="E104" s="11">
        <v>2.0</v>
      </c>
      <c r="F104" s="11">
        <v>0.0</v>
      </c>
      <c r="G104" s="11">
        <v>4.0</v>
      </c>
      <c r="H104" s="11">
        <v>11.0</v>
      </c>
      <c r="I104" s="11">
        <v>21.0</v>
      </c>
      <c r="K104" s="21"/>
      <c r="L104" s="11">
        <v>0.0</v>
      </c>
      <c r="M104" s="11">
        <v>25.0</v>
      </c>
      <c r="N104" s="17"/>
      <c r="O104" s="17"/>
      <c r="P104" s="17"/>
      <c r="R104" s="17"/>
      <c r="S104" s="17"/>
      <c r="T104" s="11">
        <v>4.0</v>
      </c>
      <c r="U104" s="11">
        <v>1.0</v>
      </c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>
        <f t="shared" si="4"/>
        <v>148</v>
      </c>
    </row>
    <row r="105" ht="22.5" customHeight="1">
      <c r="A105" s="9">
        <v>45362.0</v>
      </c>
      <c r="B105" s="11">
        <v>48.0</v>
      </c>
      <c r="C105" s="11">
        <v>29.0</v>
      </c>
      <c r="D105" s="11">
        <v>26.0</v>
      </c>
      <c r="E105" s="11">
        <v>5.0</v>
      </c>
      <c r="F105" s="11">
        <v>0.0</v>
      </c>
      <c r="G105" s="11">
        <v>12.0</v>
      </c>
      <c r="H105" s="11">
        <v>14.0</v>
      </c>
      <c r="I105" s="11">
        <v>21.0</v>
      </c>
      <c r="K105" s="21"/>
      <c r="L105" s="11">
        <v>3.0</v>
      </c>
      <c r="M105" s="11">
        <v>29.0</v>
      </c>
      <c r="N105" s="17"/>
      <c r="O105" s="17"/>
      <c r="P105" s="17"/>
      <c r="R105" s="17"/>
      <c r="S105" s="17"/>
      <c r="T105" s="11">
        <v>4.0</v>
      </c>
      <c r="U105" s="11">
        <v>3.0</v>
      </c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>
        <f t="shared" si="4"/>
        <v>194</v>
      </c>
    </row>
    <row r="106" ht="22.5" customHeight="1">
      <c r="A106" s="9">
        <v>45355.0</v>
      </c>
      <c r="B106" s="11">
        <v>10.0</v>
      </c>
      <c r="C106" s="11">
        <v>31.0</v>
      </c>
      <c r="D106" s="11">
        <v>29.0</v>
      </c>
      <c r="E106" s="11">
        <v>6.0</v>
      </c>
      <c r="F106" s="11">
        <v>0.0</v>
      </c>
      <c r="G106" s="11">
        <v>15.0</v>
      </c>
      <c r="H106" s="11">
        <v>17.0</v>
      </c>
      <c r="I106" s="11">
        <v>24.0</v>
      </c>
      <c r="K106" s="21"/>
      <c r="L106" s="11">
        <v>8.0</v>
      </c>
      <c r="M106" s="11">
        <v>1.0</v>
      </c>
      <c r="N106" s="17"/>
      <c r="O106" s="17"/>
      <c r="P106" s="17"/>
      <c r="R106" s="17"/>
      <c r="S106" s="17"/>
      <c r="T106" s="11">
        <v>4.0</v>
      </c>
      <c r="U106" s="11">
        <v>3.0</v>
      </c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>
        <f t="shared" si="4"/>
        <v>148</v>
      </c>
    </row>
    <row r="107" ht="22.5" customHeight="1">
      <c r="A107" s="12">
        <v>45355.0</v>
      </c>
      <c r="B107" s="14">
        <v>43.0</v>
      </c>
      <c r="C107" s="15"/>
      <c r="D107" s="15"/>
      <c r="E107" s="15"/>
      <c r="F107" s="15"/>
      <c r="G107" s="15"/>
      <c r="H107" s="15"/>
      <c r="I107" s="15"/>
      <c r="J107" s="16"/>
      <c r="K107" s="34"/>
      <c r="L107" s="15"/>
      <c r="M107" s="14">
        <v>36.0</v>
      </c>
      <c r="N107" s="15"/>
      <c r="O107" s="15"/>
      <c r="P107" s="15"/>
      <c r="Q107" s="16"/>
      <c r="R107" s="15"/>
      <c r="S107" s="15"/>
      <c r="T107" s="15"/>
      <c r="U107" s="15"/>
      <c r="V107" s="16"/>
      <c r="W107" s="16"/>
      <c r="X107" s="16"/>
      <c r="Y107" s="16"/>
      <c r="Z107" s="16"/>
      <c r="AA107" s="16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>
        <f t="shared" si="4"/>
        <v>79</v>
      </c>
    </row>
    <row r="108" ht="22.5" customHeight="1">
      <c r="A108" s="9">
        <v>45352.0</v>
      </c>
      <c r="B108" s="11">
        <v>15.0</v>
      </c>
      <c r="C108" s="11">
        <v>32.0</v>
      </c>
      <c r="D108" s="11">
        <v>30.0</v>
      </c>
      <c r="E108" s="11">
        <v>7.0</v>
      </c>
      <c r="F108" s="11">
        <v>0.0</v>
      </c>
      <c r="G108" s="11">
        <v>16.0</v>
      </c>
      <c r="H108" s="11">
        <v>18.0</v>
      </c>
      <c r="I108" s="11">
        <v>0.0</v>
      </c>
      <c r="K108" s="21"/>
      <c r="L108" s="11">
        <v>0.0</v>
      </c>
      <c r="M108" s="11">
        <v>4.0</v>
      </c>
      <c r="N108" s="17"/>
      <c r="O108" s="17"/>
      <c r="P108" s="17"/>
      <c r="R108" s="17"/>
      <c r="S108" s="17"/>
      <c r="T108" s="11">
        <v>4.0</v>
      </c>
      <c r="U108" s="11">
        <v>4.0</v>
      </c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>
        <f t="shared" si="4"/>
        <v>130</v>
      </c>
    </row>
    <row r="109" ht="22.5" customHeight="1">
      <c r="A109" s="12">
        <v>45352.0</v>
      </c>
      <c r="B109" s="15"/>
      <c r="C109" s="15"/>
      <c r="D109" s="15"/>
      <c r="E109" s="15"/>
      <c r="F109" s="15"/>
      <c r="G109" s="15"/>
      <c r="H109" s="15"/>
      <c r="I109" s="14">
        <v>24.0</v>
      </c>
      <c r="J109" s="16"/>
      <c r="K109" s="34"/>
      <c r="L109" s="14">
        <v>9.0</v>
      </c>
      <c r="M109" s="15"/>
      <c r="N109" s="15"/>
      <c r="O109" s="15"/>
      <c r="P109" s="15"/>
      <c r="Q109" s="16"/>
      <c r="R109" s="15"/>
      <c r="S109" s="15"/>
      <c r="T109" s="15"/>
      <c r="U109" s="15"/>
      <c r="V109" s="16"/>
      <c r="W109" s="16"/>
      <c r="X109" s="16"/>
      <c r="Y109" s="16"/>
      <c r="Z109" s="16"/>
      <c r="AA109" s="16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>
        <f t="shared" si="4"/>
        <v>33</v>
      </c>
    </row>
    <row r="110" ht="22.5" customHeight="1">
      <c r="A110" s="9">
        <v>45348.0</v>
      </c>
      <c r="B110" s="11">
        <v>19.0</v>
      </c>
      <c r="C110" s="11">
        <v>32.0</v>
      </c>
      <c r="D110" s="11">
        <v>33.0</v>
      </c>
      <c r="E110" s="11">
        <v>8.0</v>
      </c>
      <c r="F110" s="11">
        <v>0.0</v>
      </c>
      <c r="G110" s="11">
        <v>16.0</v>
      </c>
      <c r="H110" s="11">
        <v>18.0</v>
      </c>
      <c r="I110" s="11">
        <v>0.0</v>
      </c>
      <c r="K110" s="21"/>
      <c r="L110" s="11">
        <v>0.0</v>
      </c>
      <c r="M110" s="11">
        <v>5.0</v>
      </c>
      <c r="N110" s="17"/>
      <c r="O110" s="17"/>
      <c r="P110" s="17"/>
      <c r="R110" s="17"/>
      <c r="S110" s="17"/>
      <c r="T110" s="11">
        <v>5.0</v>
      </c>
      <c r="U110" s="11">
        <v>4.0</v>
      </c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>
        <f t="shared" si="4"/>
        <v>140</v>
      </c>
    </row>
    <row r="111" ht="22.5" customHeight="1">
      <c r="A111" s="12">
        <v>45344.0</v>
      </c>
      <c r="B111" s="15"/>
      <c r="C111" s="15"/>
      <c r="D111" s="15"/>
      <c r="E111" s="14">
        <v>12.0</v>
      </c>
      <c r="F111" s="15"/>
      <c r="G111" s="15"/>
      <c r="H111" s="15"/>
      <c r="I111" s="15"/>
      <c r="J111" s="16"/>
      <c r="K111" s="34"/>
      <c r="L111" s="15"/>
      <c r="M111" s="15"/>
      <c r="N111" s="15"/>
      <c r="O111" s="15"/>
      <c r="P111" s="15"/>
      <c r="Q111" s="16"/>
      <c r="R111" s="15"/>
      <c r="S111" s="15"/>
      <c r="T111" s="14">
        <v>5.0</v>
      </c>
      <c r="U111" s="14">
        <v>4.0</v>
      </c>
      <c r="V111" s="16"/>
      <c r="W111" s="16"/>
      <c r="X111" s="16"/>
      <c r="Y111" s="16"/>
      <c r="Z111" s="16"/>
      <c r="AA111" s="16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>
        <f t="shared" si="4"/>
        <v>21</v>
      </c>
    </row>
    <row r="112" ht="22.5" customHeight="1">
      <c r="A112" s="9">
        <v>45341.0</v>
      </c>
      <c r="B112" s="11">
        <v>27.0</v>
      </c>
      <c r="C112" s="11">
        <v>34.0</v>
      </c>
      <c r="D112" s="11">
        <v>36.0</v>
      </c>
      <c r="E112" s="11">
        <v>0.0</v>
      </c>
      <c r="F112" s="11">
        <v>0.0</v>
      </c>
      <c r="G112" s="11">
        <v>21.0</v>
      </c>
      <c r="H112" s="11">
        <v>19.0</v>
      </c>
      <c r="I112" s="11">
        <v>0.0</v>
      </c>
      <c r="K112" s="21"/>
      <c r="L112" s="11">
        <v>2.0</v>
      </c>
      <c r="M112" s="11">
        <v>7.0</v>
      </c>
      <c r="N112" s="17"/>
      <c r="O112" s="17"/>
      <c r="P112" s="17"/>
      <c r="R112" s="17"/>
      <c r="S112" s="17"/>
      <c r="T112" s="17"/>
      <c r="U112" s="17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>
        <f t="shared" si="4"/>
        <v>146</v>
      </c>
    </row>
    <row r="113" ht="22.5" customHeight="1">
      <c r="A113" s="9">
        <v>45334.0</v>
      </c>
      <c r="B113" s="11">
        <v>38.0</v>
      </c>
      <c r="C113" s="11">
        <v>38.0</v>
      </c>
      <c r="D113" s="11">
        <v>42.0</v>
      </c>
      <c r="E113" s="11">
        <v>0.0</v>
      </c>
      <c r="F113" s="11">
        <v>0.0</v>
      </c>
      <c r="G113" s="11">
        <v>23.0</v>
      </c>
      <c r="H113" s="11">
        <v>23.0</v>
      </c>
      <c r="I113" s="11">
        <v>1.0</v>
      </c>
      <c r="K113" s="21"/>
      <c r="L113" s="11">
        <v>5.0</v>
      </c>
      <c r="M113" s="11">
        <v>15.0</v>
      </c>
      <c r="N113" s="17"/>
      <c r="O113" s="17"/>
      <c r="P113" s="17"/>
      <c r="R113" s="17"/>
      <c r="S113" s="17"/>
      <c r="T113" s="17"/>
      <c r="U113" s="17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>
        <f t="shared" si="4"/>
        <v>185</v>
      </c>
    </row>
    <row r="114" ht="22.5" customHeight="1">
      <c r="A114" s="12">
        <v>45332.0</v>
      </c>
      <c r="B114" s="14">
        <v>43.0</v>
      </c>
      <c r="C114" s="15"/>
      <c r="D114" s="15"/>
      <c r="E114" s="15"/>
      <c r="F114" s="15"/>
      <c r="G114" s="15"/>
      <c r="H114" s="15"/>
      <c r="I114" s="15"/>
      <c r="K114" s="21"/>
      <c r="L114" s="15"/>
      <c r="M114" s="15"/>
      <c r="N114" s="17"/>
      <c r="O114" s="17"/>
      <c r="P114" s="17"/>
      <c r="R114" s="17"/>
      <c r="S114" s="17"/>
      <c r="T114" s="17"/>
      <c r="U114" s="17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>
        <f t="shared" si="4"/>
        <v>43</v>
      </c>
    </row>
    <row r="115" ht="22.5" customHeight="1">
      <c r="A115" s="12">
        <v>45328.0</v>
      </c>
      <c r="B115" s="15"/>
      <c r="C115" s="15"/>
      <c r="D115" s="14"/>
      <c r="E115" s="15"/>
      <c r="F115" s="15"/>
      <c r="G115" s="15"/>
      <c r="H115" s="15"/>
      <c r="I115" s="15"/>
      <c r="K115" s="21"/>
      <c r="L115" s="15"/>
      <c r="M115" s="14">
        <v>26.0</v>
      </c>
      <c r="N115" s="17"/>
      <c r="O115" s="17"/>
      <c r="P115" s="17"/>
      <c r="R115" s="17"/>
      <c r="S115" s="17"/>
      <c r="T115" s="17"/>
      <c r="U115" s="17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>
        <f t="shared" si="4"/>
        <v>26</v>
      </c>
    </row>
    <row r="116" ht="22.5" customHeight="1">
      <c r="A116" s="9">
        <v>45327.0</v>
      </c>
      <c r="B116" s="11">
        <v>7.0</v>
      </c>
      <c r="C116" s="11">
        <v>42.0</v>
      </c>
      <c r="D116" s="11">
        <v>48.0</v>
      </c>
      <c r="E116" s="11">
        <v>0.0</v>
      </c>
      <c r="F116" s="11">
        <v>7.0</v>
      </c>
      <c r="G116" s="11">
        <v>29.0</v>
      </c>
      <c r="H116" s="11">
        <v>25.0</v>
      </c>
      <c r="I116" s="11">
        <v>3.0</v>
      </c>
      <c r="K116" s="21"/>
      <c r="L116" s="11">
        <v>1.0</v>
      </c>
      <c r="M116" s="11">
        <v>0.0</v>
      </c>
      <c r="N116" s="17"/>
      <c r="O116" s="17"/>
      <c r="P116" s="17"/>
      <c r="R116" s="17"/>
      <c r="S116" s="17"/>
      <c r="T116" s="17"/>
      <c r="U116" s="43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>
        <f t="shared" si="4"/>
        <v>162</v>
      </c>
    </row>
    <row r="117" ht="22.5" customHeight="1">
      <c r="A117" s="12">
        <v>45327.0</v>
      </c>
      <c r="B117" s="15"/>
      <c r="C117" s="15"/>
      <c r="D117" s="15"/>
      <c r="E117" s="15"/>
      <c r="F117" s="15"/>
      <c r="G117" s="15"/>
      <c r="H117" s="15"/>
      <c r="I117" s="15"/>
      <c r="K117" s="21"/>
      <c r="L117" s="14">
        <v>10.0</v>
      </c>
      <c r="M117" s="15"/>
      <c r="N117" s="17"/>
      <c r="O117" s="17"/>
      <c r="P117" s="17"/>
      <c r="R117" s="17"/>
      <c r="S117" s="17"/>
      <c r="T117" s="17"/>
      <c r="U117" s="43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>
        <f t="shared" si="4"/>
        <v>10</v>
      </c>
    </row>
    <row r="118" ht="22.5" customHeight="1">
      <c r="A118" s="12">
        <v>45320.0</v>
      </c>
      <c r="B118" s="15"/>
      <c r="C118" s="15"/>
      <c r="D118" s="15"/>
      <c r="E118" s="15"/>
      <c r="F118" s="15"/>
      <c r="G118" s="14">
        <v>36.0</v>
      </c>
      <c r="H118" s="15"/>
      <c r="I118" s="15"/>
      <c r="K118" s="21"/>
      <c r="L118" s="15"/>
      <c r="M118" s="14">
        <v>6.0</v>
      </c>
      <c r="N118" s="17"/>
      <c r="O118" s="17"/>
      <c r="P118" s="17"/>
      <c r="R118" s="17"/>
      <c r="S118" s="17"/>
      <c r="T118" s="17"/>
      <c r="U118" s="17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>
        <f t="shared" si="4"/>
        <v>42</v>
      </c>
    </row>
    <row r="119" ht="22.5" customHeight="1">
      <c r="A119" s="9">
        <v>45320.0</v>
      </c>
      <c r="B119" s="11">
        <v>21.0</v>
      </c>
      <c r="C119" s="11">
        <v>50.0</v>
      </c>
      <c r="D119" s="11">
        <v>54.0</v>
      </c>
      <c r="E119" s="11">
        <v>3.0</v>
      </c>
      <c r="F119" s="11">
        <v>11.0</v>
      </c>
      <c r="G119" s="11">
        <v>34.0</v>
      </c>
      <c r="H119" s="11">
        <v>28.0</v>
      </c>
      <c r="I119" s="11">
        <v>10.0</v>
      </c>
      <c r="K119" s="21"/>
      <c r="L119" s="11">
        <v>12.0</v>
      </c>
      <c r="M119" s="11">
        <v>5.0</v>
      </c>
      <c r="N119" s="17"/>
      <c r="O119" s="17"/>
      <c r="P119" s="17"/>
      <c r="R119" s="17"/>
      <c r="S119" s="17"/>
      <c r="T119" s="17"/>
      <c r="U119" s="43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>
        <f t="shared" si="4"/>
        <v>228</v>
      </c>
    </row>
    <row r="120" ht="22.5" customHeight="1">
      <c r="A120" s="12">
        <v>45315.0</v>
      </c>
      <c r="B120" s="15"/>
      <c r="C120" s="15"/>
      <c r="D120" s="15"/>
      <c r="E120" s="15"/>
      <c r="F120" s="15"/>
      <c r="G120" s="15"/>
      <c r="H120" s="15"/>
      <c r="I120" s="14">
        <v>12.0</v>
      </c>
      <c r="K120" s="21"/>
      <c r="L120" s="14">
        <v>16.0</v>
      </c>
      <c r="M120" s="15"/>
      <c r="N120" s="17"/>
      <c r="O120" s="17"/>
      <c r="P120" s="17"/>
      <c r="R120" s="17"/>
      <c r="S120" s="17"/>
      <c r="T120" s="17"/>
      <c r="U120" s="43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>
        <f t="shared" si="4"/>
        <v>28</v>
      </c>
    </row>
    <row r="121" ht="22.5" customHeight="1">
      <c r="A121" s="9">
        <v>45313.0</v>
      </c>
      <c r="B121" s="11">
        <v>28.0</v>
      </c>
      <c r="C121" s="11">
        <v>51.0</v>
      </c>
      <c r="D121" s="11">
        <v>57.0</v>
      </c>
      <c r="E121" s="11">
        <v>4.0</v>
      </c>
      <c r="F121" s="11">
        <v>18.0</v>
      </c>
      <c r="G121" s="11">
        <v>2.0</v>
      </c>
      <c r="H121" s="11">
        <v>31.0</v>
      </c>
      <c r="I121" s="17"/>
      <c r="K121" s="21"/>
      <c r="L121" s="17"/>
      <c r="M121" s="17"/>
      <c r="N121" s="17"/>
      <c r="O121" s="17"/>
      <c r="P121" s="17"/>
      <c r="R121" s="17"/>
      <c r="S121" s="17"/>
      <c r="T121" s="17"/>
      <c r="U121" s="43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>
        <f t="shared" si="4"/>
        <v>191</v>
      </c>
    </row>
    <row r="122" ht="22.5" customHeight="1">
      <c r="A122" s="9">
        <v>45305.0</v>
      </c>
      <c r="B122" s="11">
        <v>34.0</v>
      </c>
      <c r="C122" s="11">
        <v>55.0</v>
      </c>
      <c r="D122" s="11">
        <v>63.0</v>
      </c>
      <c r="E122" s="11">
        <v>12.0</v>
      </c>
      <c r="F122" s="11">
        <v>22.0</v>
      </c>
      <c r="G122" s="11">
        <v>5.0</v>
      </c>
      <c r="H122" s="11">
        <v>33.0</v>
      </c>
      <c r="I122" s="17"/>
      <c r="K122" s="44"/>
      <c r="L122" s="17"/>
      <c r="M122" s="17"/>
      <c r="N122" s="17"/>
      <c r="O122" s="17"/>
      <c r="P122" s="17"/>
      <c r="R122" s="17"/>
      <c r="S122" s="17"/>
      <c r="T122" s="17"/>
      <c r="U122" s="17"/>
      <c r="AB122" s="21"/>
      <c r="AC122" s="21"/>
      <c r="AD122" s="21"/>
      <c r="AE122" s="21"/>
      <c r="AF122" s="21"/>
      <c r="AG122" s="21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>
        <f t="shared" si="4"/>
        <v>224</v>
      </c>
    </row>
    <row r="123" ht="22.5" customHeight="1">
      <c r="A123" s="23">
        <v>45301.0</v>
      </c>
      <c r="B123" s="25"/>
      <c r="C123" s="25"/>
      <c r="D123" s="25"/>
      <c r="E123" s="25"/>
      <c r="F123" s="27">
        <v>27.0</v>
      </c>
      <c r="G123" s="25"/>
      <c r="H123" s="25"/>
      <c r="I123" s="17"/>
      <c r="K123" s="21"/>
      <c r="L123" s="17"/>
      <c r="M123" s="17"/>
      <c r="N123" s="17"/>
      <c r="O123" s="17"/>
      <c r="P123" s="17"/>
      <c r="R123" s="17"/>
      <c r="S123" s="17"/>
      <c r="T123" s="17"/>
      <c r="U123" s="17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>
        <f t="shared" si="4"/>
        <v>27</v>
      </c>
    </row>
    <row r="124" ht="22.5" customHeight="1">
      <c r="A124" s="9">
        <v>45299.0</v>
      </c>
      <c r="B124" s="11">
        <v>37.0</v>
      </c>
      <c r="C124" s="11">
        <v>58.0</v>
      </c>
      <c r="D124" s="11">
        <v>68.0</v>
      </c>
      <c r="E124" s="11">
        <v>18.0</v>
      </c>
      <c r="F124" s="11">
        <v>0.0</v>
      </c>
      <c r="G124" s="11">
        <v>8.0</v>
      </c>
      <c r="H124" s="11">
        <v>37.0</v>
      </c>
      <c r="I124" s="17"/>
      <c r="K124" s="21"/>
      <c r="L124" s="17"/>
      <c r="M124" s="17"/>
      <c r="N124" s="17"/>
      <c r="O124" s="17"/>
      <c r="P124" s="17"/>
      <c r="R124" s="17"/>
      <c r="S124" s="17"/>
      <c r="T124" s="17"/>
      <c r="U124" s="17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>
        <f t="shared" si="4"/>
        <v>226</v>
      </c>
    </row>
    <row r="125" ht="22.5" customHeight="1">
      <c r="A125" s="9">
        <v>45292.0</v>
      </c>
      <c r="B125" s="11">
        <v>40.0</v>
      </c>
      <c r="C125" s="11">
        <v>60.0</v>
      </c>
      <c r="D125" s="11">
        <v>72.0</v>
      </c>
      <c r="E125" s="11">
        <v>26.0</v>
      </c>
      <c r="F125" s="11">
        <v>0.0</v>
      </c>
      <c r="G125" s="11">
        <v>11.0</v>
      </c>
      <c r="H125" s="11">
        <v>40.0</v>
      </c>
      <c r="I125" s="17"/>
      <c r="K125" s="21"/>
      <c r="L125" s="17"/>
      <c r="M125" s="17"/>
      <c r="N125" s="17"/>
      <c r="O125" s="17"/>
      <c r="P125" s="17"/>
      <c r="R125" s="17"/>
      <c r="S125" s="17"/>
      <c r="T125" s="17"/>
      <c r="U125" s="17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>
        <f t="shared" si="4"/>
        <v>249</v>
      </c>
    </row>
    <row r="126" ht="22.5" customHeight="1">
      <c r="A126" s="23">
        <v>45261.0</v>
      </c>
      <c r="B126" s="27">
        <v>120.0</v>
      </c>
      <c r="C126" s="27">
        <v>63.0</v>
      </c>
      <c r="D126" s="27">
        <v>122.0</v>
      </c>
      <c r="E126" s="27">
        <v>26.0</v>
      </c>
      <c r="F126" s="27">
        <v>4.0</v>
      </c>
      <c r="G126" s="27">
        <v>46.0</v>
      </c>
      <c r="H126" s="27">
        <v>64.0</v>
      </c>
      <c r="I126" s="17"/>
      <c r="K126" s="21"/>
      <c r="L126" s="17"/>
      <c r="M126" s="17"/>
      <c r="N126" s="17"/>
      <c r="O126" s="17"/>
      <c r="P126" s="17"/>
      <c r="R126" s="17"/>
      <c r="S126" s="17"/>
      <c r="T126" s="17"/>
      <c r="U126" s="17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>
        <f t="shared" si="4"/>
        <v>445</v>
      </c>
    </row>
  </sheetData>
  <dataValidations>
    <dataValidation type="custom" allowBlank="1" showDropDown="1" sqref="A2:A126">
      <formula1>OR(NOT(ISERROR(DATEVALUE(A2))), AND(ISNUMBER(A2), LEFT(CELL("format", A2))="D"))</formula1>
    </dataValidation>
    <dataValidation type="custom" allowBlank="1" showDropDown="1" sqref="B2:I126 L2:P126 R2:U12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88"/>
    <col customWidth="1" min="2" max="3" width="11.38"/>
    <col customWidth="1" min="4" max="4" width="12.75"/>
    <col customWidth="1" min="5" max="5" width="11.38"/>
    <col customWidth="1" min="6" max="6" width="16.25"/>
    <col customWidth="1" min="7" max="9" width="11.38"/>
    <col customWidth="1" min="10" max="10" width="12.0"/>
    <col customWidth="1" min="11" max="11" width="16.38"/>
    <col customWidth="1" min="12" max="12" width="17.13"/>
    <col customWidth="1" min="13" max="13" width="20.13"/>
    <col customWidth="1" min="14" max="14" width="12.5"/>
    <col customWidth="1" min="15" max="15" width="17.0"/>
    <col customWidth="1" min="16" max="16" width="11.75"/>
    <col customWidth="1" min="17" max="17" width="14.38"/>
    <col customWidth="1" min="18" max="19" width="18.13"/>
    <col customWidth="1" min="20" max="20" width="19.13"/>
    <col customWidth="1" min="21" max="21" width="24.25"/>
    <col customWidth="1" min="22" max="22" width="17.75"/>
    <col customWidth="1" min="23" max="23" width="17.25"/>
    <col customWidth="1" min="24" max="24" width="15.38"/>
    <col customWidth="1" min="25" max="25" width="16.38"/>
  </cols>
  <sheetData>
    <row r="1" ht="22.5" customHeight="1">
      <c r="A1" s="1" t="s">
        <v>0</v>
      </c>
      <c r="B1" s="2" t="s">
        <v>50</v>
      </c>
      <c r="C1" s="2" t="s">
        <v>1</v>
      </c>
      <c r="D1" s="2" t="s">
        <v>2</v>
      </c>
      <c r="E1" s="2" t="s">
        <v>51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52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53</v>
      </c>
      <c r="T1" s="2" t="s">
        <v>20</v>
      </c>
      <c r="U1" s="2" t="s">
        <v>21</v>
      </c>
      <c r="V1" s="2" t="s">
        <v>22</v>
      </c>
      <c r="W1" s="2" t="s">
        <v>24</v>
      </c>
      <c r="X1" s="2" t="s">
        <v>25</v>
      </c>
      <c r="Y1" s="2" t="s">
        <v>9</v>
      </c>
      <c r="Z1" s="45" t="s">
        <v>54</v>
      </c>
    </row>
    <row r="2" ht="22.5" customHeight="1">
      <c r="A2" s="43">
        <v>45261.0</v>
      </c>
      <c r="B2" s="17">
        <f t="shared" ref="B2:B3" si="1">SUM(C2:I2)</f>
        <v>26</v>
      </c>
      <c r="C2" s="17">
        <f>'Weekly Inventory'!B39-'Weekly Inventory'!B41</f>
        <v>0</v>
      </c>
      <c r="D2" s="17">
        <f>'Weekly Inventory'!C39-'Weekly Inventory'!C41</f>
        <v>26</v>
      </c>
      <c r="E2" s="17">
        <f>'Weekly Inventory'!D39-'Weekly Inventory'!D41</f>
        <v>0</v>
      </c>
      <c r="G2" s="17">
        <f>'Weekly Inventory'!F39-'Weekly Inventory'!F41</f>
        <v>0</v>
      </c>
      <c r="H2" s="17">
        <f>'Weekly Inventory'!G39-'Weekly Inventory'!G41</f>
        <v>0</v>
      </c>
      <c r="I2" s="17">
        <f>'Weekly Inventory'!H39-'Weekly Inventory'!H41</f>
        <v>0</v>
      </c>
    </row>
    <row r="3" ht="22.5" customHeight="1">
      <c r="A3" s="43">
        <v>45292.0</v>
      </c>
      <c r="B3" s="17">
        <f t="shared" si="1"/>
        <v>198</v>
      </c>
      <c r="C3" s="17">
        <f>'Weekly Inventory'!B41+'Weekly Inventory'!B45+'Weekly Inventory'!B51-'Weekly Inventory'!B53+'Weekly Inventory'!B52</f>
        <v>-20</v>
      </c>
      <c r="D3" s="17">
        <f>'Weekly Inventory'!C41+'Weekly Inventory'!C45+'Weekly Inventory'!C51-'Weekly Inventory'!C53+'Weekly Inventory'!C52</f>
        <v>16</v>
      </c>
      <c r="E3" s="17">
        <f>'Weekly Inventory'!D41+'Weekly Inventory'!D45+'Weekly Inventory'!D51-'Weekly Inventory'!D53+'Weekly Inventory'!D52</f>
        <v>39</v>
      </c>
      <c r="F3" s="17">
        <f>'Weekly Inventory'!E41+'Weekly Inventory'!E45+'Weekly Inventory'!E51-'Weekly Inventory'!E53+'Weekly Inventory'!E52</f>
        <v>63</v>
      </c>
      <c r="G3" s="17">
        <f>'Weekly Inventory'!F41+'Weekly Inventory'!F45+'Weekly Inventory'!F51-'Weekly Inventory'!F53+'Weekly Inventory'!F52</f>
        <v>0</v>
      </c>
      <c r="H3" s="17">
        <f>'Weekly Inventory'!G41+'Weekly Inventory'!G45+'Weekly Inventory'!G51-'Weekly Inventory'!G53+'Weekly Inventory'!G52</f>
        <v>97</v>
      </c>
      <c r="I3" s="17">
        <f>'Weekly Inventory'!H41+'Weekly Inventory'!H45+'Weekly Inventory'!H51-'Weekly Inventory'!H53+'Weekly Inventory'!H52</f>
        <v>3</v>
      </c>
      <c r="J3" s="17">
        <f>'Weekly Inventory'!I41+'Weekly Inventory'!I45+'Weekly Inventory'!I51-'Weekly Inventory'!I53+'Weekly Inventory'!I52</f>
        <v>1</v>
      </c>
      <c r="K3" s="17">
        <f>'Weekly Inventory'!L41+'Weekly Inventory'!L45+'Weekly Inventory'!L51-'Weekly Inventory'!L53+'Weekly Inventory'!L52</f>
        <v>33</v>
      </c>
      <c r="L3" s="17">
        <f>'Weekly Inventory'!M41+'Weekly Inventory'!M45+'Weekly Inventory'!M51-'Weekly Inventory'!M53+'Weekly Inventory'!M52</f>
        <v>39</v>
      </c>
    </row>
    <row r="4" ht="22.5" customHeight="1">
      <c r="A4" s="43">
        <v>45323.0</v>
      </c>
      <c r="B4" s="46">
        <f t="shared" ref="B4:B13" si="2">sum(C4:Z4)</f>
        <v>592</v>
      </c>
      <c r="C4" s="17">
        <f>'Weekly Inventory'!B53+'Weekly Inventory'!B55+'Weekly Inventory'!B56+'Weekly Inventory'!B57+'Weekly Inventory'!B60-'Weekly Inventory'!B62</f>
        <v>153</v>
      </c>
      <c r="D4" s="17">
        <f>'Weekly Inventory'!C53+'Weekly Inventory'!C55+'Weekly Inventory'!C56+'Weekly Inventory'!C57+'Weekly Inventory'!C60-'Weekly Inventory'!C62</f>
        <v>67</v>
      </c>
      <c r="E4" s="17">
        <f>'Weekly Inventory'!D53+'Weekly Inventory'!D55+'Weekly Inventory'!D56+'Weekly Inventory'!D57+'Weekly Inventory'!D60-'Weekly Inventory'!D62</f>
        <v>70</v>
      </c>
      <c r="F4" s="17">
        <f>'Weekly Inventory'!E53+'Weekly Inventory'!E55+'Weekly Inventory'!E56+'Weekly Inventory'!E57+'Weekly Inventory'!E60-'Weekly Inventory'!E62</f>
        <v>12</v>
      </c>
      <c r="G4" s="17">
        <f>'Weekly Inventory'!F53+'Weekly Inventory'!F55+'Weekly Inventory'!F56+'Weekly Inventory'!F57+'Weekly Inventory'!F60-'Weekly Inventory'!F62</f>
        <v>-1</v>
      </c>
      <c r="H4" s="17">
        <f>'Weekly Inventory'!G53+'Weekly Inventory'!G55+'Weekly Inventory'!G56+'Weekly Inventory'!G57+'Weekly Inventory'!G60-'Weekly Inventory'!G62</f>
        <v>-6</v>
      </c>
      <c r="I4" s="17">
        <f>'Weekly Inventory'!H53+'Weekly Inventory'!H55+'Weekly Inventory'!H56+'Weekly Inventory'!H57+'Weekly Inventory'!H60-'Weekly Inventory'!H62</f>
        <v>33</v>
      </c>
      <c r="J4" s="17">
        <f>'Weekly Inventory'!I53+'Weekly Inventory'!I55+'Weekly Inventory'!I56+'Weekly Inventory'!I57+'Weekly Inventory'!I60-'Weekly Inventory'!I62</f>
        <v>0</v>
      </c>
      <c r="K4" s="17">
        <f>'Weekly Inventory'!L53+'Weekly Inventory'!L55+'Weekly Inventory'!L56+'Weekly Inventory'!L57+'Weekly Inventory'!L60-'Weekly Inventory'!L62</f>
        <v>115</v>
      </c>
      <c r="L4" s="17">
        <f>'Weekly Inventory'!M53+'Weekly Inventory'!M55+'Weekly Inventory'!M56+'Weekly Inventory'!M57+'Weekly Inventory'!M60-'Weekly Inventory'!M62</f>
        <v>149</v>
      </c>
    </row>
    <row r="5" ht="22.5" customHeight="1">
      <c r="A5" s="43">
        <v>45352.0</v>
      </c>
      <c r="B5" s="46">
        <f t="shared" si="2"/>
        <v>407</v>
      </c>
      <c r="C5" s="47">
        <f>'Weekly Inventory'!B62+'Weekly Inventory'!B63+'Weekly Inventory'!B65+'Weekly Inventory'!B69-'Weekly Inventory'!B70</f>
        <v>52</v>
      </c>
      <c r="D5" s="47">
        <f>'Weekly Inventory'!C62+'Weekly Inventory'!C63+'Weekly Inventory'!C65+'Weekly Inventory'!C69-'Weekly Inventory'!C70</f>
        <v>3</v>
      </c>
      <c r="E5" s="47">
        <f>'Weekly Inventory'!D62+'Weekly Inventory'!D63+'Weekly Inventory'!D65+'Weekly Inventory'!D69-'Weekly Inventory'!D70</f>
        <v>50</v>
      </c>
      <c r="F5" s="47">
        <f>'Weekly Inventory'!E62+'Weekly Inventory'!E63+'Weekly Inventory'!E65+'Weekly Inventory'!E69-'Weekly Inventory'!E70</f>
        <v>84</v>
      </c>
      <c r="G5" s="47">
        <f>'Weekly Inventory'!F62+'Weekly Inventory'!F63+'Weekly Inventory'!F65+'Weekly Inventory'!F69-'Weekly Inventory'!F70</f>
        <v>123</v>
      </c>
      <c r="H5" s="47">
        <f>'Weekly Inventory'!G62+'Weekly Inventory'!G63+'Weekly Inventory'!G65+'Weekly Inventory'!G69-'Weekly Inventory'!G70</f>
        <v>24</v>
      </c>
      <c r="I5" s="17">
        <f>'Weekly Inventory'!H62+'Weekly Inventory'!H63+'Weekly Inventory'!H65+'Weekly Inventory'!H69-'Weekly Inventory'!H70</f>
        <v>53</v>
      </c>
      <c r="J5" s="47">
        <f>'Weekly Inventory'!I62+'Weekly Inventory'!I63+'Weekly Inventory'!I65+'Weekly Inventory'!I69-'Weekly Inventory'!I70</f>
        <v>24</v>
      </c>
      <c r="K5" s="47">
        <f>'Weekly Inventory'!L62+'Weekly Inventory'!L63+'Weekly Inventory'!L65+'Weekly Inventory'!L69-'Weekly Inventory'!L70</f>
        <v>12</v>
      </c>
      <c r="L5" s="47">
        <f>'Weekly Inventory'!M62+'Weekly Inventory'!M63+'Weekly Inventory'!M65+'Weekly Inventory'!M69-'Weekly Inventory'!M70</f>
        <v>-18</v>
      </c>
    </row>
    <row r="6" ht="22.5" customHeight="1">
      <c r="A6" s="43">
        <v>45383.0</v>
      </c>
      <c r="B6" s="46">
        <f t="shared" si="2"/>
        <v>220</v>
      </c>
      <c r="C6" s="46">
        <f>'Weekly Inventory'!B70+'Weekly Inventory'!B72+'Weekly Inventory'!B73+'Weekly Inventory'!B74+'Weekly Inventory'!B76-'Weekly Inventory'!B77</f>
        <v>57</v>
      </c>
      <c r="D6" s="46">
        <f>'Weekly Inventory'!C70+'Weekly Inventory'!C72+'Weekly Inventory'!C73+'Weekly Inventory'!C74+'Weekly Inventory'!C76-'Weekly Inventory'!C77</f>
        <v>6</v>
      </c>
      <c r="E6" s="46">
        <f>'Weekly Inventory'!D70+'Weekly Inventory'!D72+'Weekly Inventory'!D73+'Weekly Inventory'!D74+'Weekly Inventory'!D76-'Weekly Inventory'!D77</f>
        <v>30</v>
      </c>
      <c r="F6" s="46">
        <f>'Weekly Inventory'!E70+'Weekly Inventory'!E72+'Weekly Inventory'!E73+'Weekly Inventory'!E74+'Weekly Inventory'!E76-'Weekly Inventory'!E77</f>
        <v>-1</v>
      </c>
      <c r="G6" s="46">
        <f>'Weekly Inventory'!F70+'Weekly Inventory'!F72+'Weekly Inventory'!F73+'Weekly Inventory'!F74+'Weekly Inventory'!F76-'Weekly Inventory'!F77</f>
        <v>-1</v>
      </c>
      <c r="H6" s="46">
        <f>'Weekly Inventory'!G70+'Weekly Inventory'!G72+'Weekly Inventory'!G73+'Weekly Inventory'!G74+'Weekly Inventory'!G76-'Weekly Inventory'!G77</f>
        <v>20</v>
      </c>
      <c r="I6" s="46">
        <f>'Weekly Inventory'!H70+'Weekly Inventory'!H72+'Weekly Inventory'!H73+'Weekly Inventory'!H74+'Weekly Inventory'!H76-'Weekly Inventory'!H77</f>
        <v>72</v>
      </c>
      <c r="J6" s="46">
        <f>'Weekly Inventory'!I70+'Weekly Inventory'!I72+'Weekly Inventory'!I73+'Weekly Inventory'!I74+'Weekly Inventory'!I76-'Weekly Inventory'!I77</f>
        <v>0</v>
      </c>
      <c r="K6" s="46">
        <f>'Weekly Inventory'!L70+'Weekly Inventory'!L72+'Weekly Inventory'!L73+'Weekly Inventory'!L74+'Weekly Inventory'!L76-'Weekly Inventory'!L77</f>
        <v>-1</v>
      </c>
      <c r="L6" s="46">
        <f>'Weekly Inventory'!M70+'Weekly Inventory'!M72+'Weekly Inventory'!M73+'Weekly Inventory'!M74+'Weekly Inventory'!M76-'Weekly Inventory'!M77</f>
        <v>38</v>
      </c>
      <c r="M6" s="46"/>
      <c r="N6" s="46"/>
      <c r="O6" s="46"/>
      <c r="P6" s="46"/>
      <c r="Q6" s="46"/>
      <c r="R6" s="46"/>
    </row>
    <row r="7" ht="22.5" customHeight="1">
      <c r="A7" s="43">
        <v>45413.0</v>
      </c>
      <c r="B7" s="46">
        <f t="shared" si="2"/>
        <v>624</v>
      </c>
      <c r="C7" s="46">
        <f>'Weekly Inventory'!B77+'Weekly Inventory'!B78+'Weekly Inventory'!B80+'Weekly Inventory'!B82-'Weekly Inventory'!B83</f>
        <v>66</v>
      </c>
      <c r="D7" s="46">
        <f>'Weekly Inventory'!C77+'Weekly Inventory'!C78+'Weekly Inventory'!C80+'Weekly Inventory'!C82-'Weekly Inventory'!C83</f>
        <v>97</v>
      </c>
      <c r="E7" s="46">
        <f>'Weekly Inventory'!D77+'Weekly Inventory'!D78+'Weekly Inventory'!D80+'Weekly Inventory'!D82-'Weekly Inventory'!D83</f>
        <v>121</v>
      </c>
      <c r="F7" s="46">
        <f>'Weekly Inventory'!E77+'Weekly Inventory'!E78+'Weekly Inventory'!E80+'Weekly Inventory'!E82-'Weekly Inventory'!E83</f>
        <v>8</v>
      </c>
      <c r="G7" s="46">
        <f>'Weekly Inventory'!F77+'Weekly Inventory'!F78+'Weekly Inventory'!F80+'Weekly Inventory'!F82-'Weekly Inventory'!F83</f>
        <v>14</v>
      </c>
      <c r="H7" s="46">
        <f>'Weekly Inventory'!G77+'Weekly Inventory'!G78+'Weekly Inventory'!G80+'Weekly Inventory'!G82-'Weekly Inventory'!G83</f>
        <v>160</v>
      </c>
      <c r="I7" s="46"/>
      <c r="J7" s="46">
        <f>'Weekly Inventory'!I77+'Weekly Inventory'!I78+'Weekly Inventory'!I80+'Weekly Inventory'!I82-'Weekly Inventory'!I83</f>
        <v>0</v>
      </c>
      <c r="K7" s="46">
        <f>'Weekly Inventory'!L77+'Weekly Inventory'!L78+'Weekly Inventory'!L80+'Weekly Inventory'!L82-'Weekly Inventory'!L83</f>
        <v>44</v>
      </c>
      <c r="L7" s="46">
        <f>'Weekly Inventory'!M77+'Weekly Inventory'!M78+'Weekly Inventory'!M80+'Weekly Inventory'!M82-'Weekly Inventory'!M83</f>
        <v>114</v>
      </c>
      <c r="M7" s="46"/>
      <c r="N7" s="46"/>
      <c r="O7" s="46"/>
      <c r="P7" s="46"/>
      <c r="Q7" s="46"/>
      <c r="R7" s="46"/>
    </row>
    <row r="8" ht="22.5" customHeight="1">
      <c r="A8" s="43">
        <v>45444.0</v>
      </c>
      <c r="B8" s="46">
        <f t="shared" si="2"/>
        <v>359</v>
      </c>
      <c r="C8" s="46">
        <f>'Weekly Inventory'!B83+'Weekly Inventory'!B84+'Weekly Inventory'!B85+'Weekly Inventory'!B86-'Weekly Inventory'!B87</f>
        <v>64</v>
      </c>
      <c r="D8" s="46">
        <f>'Weekly Inventory'!C83+'Weekly Inventory'!C84+'Weekly Inventory'!C85+'Weekly Inventory'!C86-'Weekly Inventory'!C87</f>
        <v>32</v>
      </c>
      <c r="E8" s="46">
        <f>'Weekly Inventory'!D83+'Weekly Inventory'!D84+'Weekly Inventory'!D85+'Weekly Inventory'!D86-'Weekly Inventory'!D87</f>
        <v>23</v>
      </c>
      <c r="F8" s="46">
        <f>'Weekly Inventory'!E83+'Weekly Inventory'!E84+'Weekly Inventory'!E85+'Weekly Inventory'!E86-'Weekly Inventory'!E87</f>
        <v>6</v>
      </c>
      <c r="G8" s="46">
        <f>'Weekly Inventory'!F83+'Weekly Inventory'!F84+'Weekly Inventory'!F85+'Weekly Inventory'!F86-'Weekly Inventory'!F87</f>
        <v>15</v>
      </c>
      <c r="H8" s="46">
        <f>'Weekly Inventory'!G83+'Weekly Inventory'!G84+'Weekly Inventory'!G85+'Weekly Inventory'!G86-'Weekly Inventory'!G87</f>
        <v>136</v>
      </c>
      <c r="I8" s="46"/>
      <c r="J8" s="46">
        <f>'Weekly Inventory'!I83+'Weekly Inventory'!I84+'Weekly Inventory'!I85+'Weekly Inventory'!I86-'Weekly Inventory'!I87</f>
        <v>2</v>
      </c>
      <c r="K8" s="46">
        <f>'Weekly Inventory'!L83+'Weekly Inventory'!L84+'Weekly Inventory'!L85+'Weekly Inventory'!L86-'Weekly Inventory'!L87</f>
        <v>19</v>
      </c>
      <c r="L8" s="46">
        <f>'Weekly Inventory'!M83+'Weekly Inventory'!M84+'Weekly Inventory'!M85+'Weekly Inventory'!M86-'Weekly Inventory'!M87</f>
        <v>95</v>
      </c>
      <c r="M8" s="46"/>
      <c r="N8" s="46"/>
      <c r="O8" s="46"/>
      <c r="P8" s="46"/>
      <c r="Q8" s="46">
        <f>'Weekly Inventory'!R83+'Weekly Inventory'!R84+'Weekly Inventory'!R85+'Weekly Inventory'!R86-'Weekly Inventory'!R87</f>
        <v>-15</v>
      </c>
      <c r="R8" s="46">
        <f>'Weekly Inventory'!S83+'Weekly Inventory'!S84+'Weekly Inventory'!S85+'Weekly Inventory'!S86-'Weekly Inventory'!S87</f>
        <v>-18</v>
      </c>
    </row>
    <row r="9" ht="22.5" customHeight="1">
      <c r="A9" s="43">
        <v>45474.0</v>
      </c>
      <c r="B9" s="46">
        <f t="shared" si="2"/>
        <v>215</v>
      </c>
      <c r="C9" s="46">
        <f>'Weekly Inventory'!B87+'Weekly Inventory'!B88-'Weekly Inventory'!B91</f>
        <v>42</v>
      </c>
      <c r="D9" s="46">
        <f>'Weekly Inventory'!C87+'Weekly Inventory'!C88-'Weekly Inventory'!C91</f>
        <v>44</v>
      </c>
      <c r="E9" s="46">
        <f>'Weekly Inventory'!D87+'Weekly Inventory'!D88-'Weekly Inventory'!D91</f>
        <v>42</v>
      </c>
      <c r="F9" s="46">
        <f>'Weekly Inventory'!E87+'Weekly Inventory'!E88-'Weekly Inventory'!E91</f>
        <v>9</v>
      </c>
      <c r="G9" s="46">
        <f>'Weekly Inventory'!F87+'Weekly Inventory'!F88-'Weekly Inventory'!F91</f>
        <v>24</v>
      </c>
      <c r="H9" s="46">
        <f>'Weekly Inventory'!G87+'Weekly Inventory'!G88-'Weekly Inventory'!G91</f>
        <v>-33</v>
      </c>
      <c r="I9" s="46"/>
      <c r="J9" s="46">
        <f>'Weekly Inventory'!I87+'Weekly Inventory'!I88-'Weekly Inventory'!I91</f>
        <v>7</v>
      </c>
      <c r="K9" s="46">
        <f>'Weekly Inventory'!L87+'Weekly Inventory'!L88-'Weekly Inventory'!L91</f>
        <v>30</v>
      </c>
      <c r="L9" s="46">
        <f>'Weekly Inventory'!M87+'Weekly Inventory'!M88-'Weekly Inventory'!M91</f>
        <v>8</v>
      </c>
      <c r="M9" s="46">
        <f>'Weekly Inventory'!N87+'Weekly Inventory'!N88-'Weekly Inventory'!N91</f>
        <v>0</v>
      </c>
      <c r="N9" s="46">
        <f>'Weekly Inventory'!O87+'Weekly Inventory'!O88-'Weekly Inventory'!O91</f>
        <v>0</v>
      </c>
      <c r="O9" s="46">
        <f>'Weekly Inventory'!P87+'Weekly Inventory'!P88-'Weekly Inventory'!P91</f>
        <v>0</v>
      </c>
      <c r="P9" s="46"/>
      <c r="Q9" s="46">
        <f>'Weekly Inventory'!R87+'Weekly Inventory'!R88-'Weekly Inventory'!R91</f>
        <v>24</v>
      </c>
      <c r="R9" s="46">
        <f>'Weekly Inventory'!S87+'Weekly Inventory'!S88-'Weekly Inventory'!S91</f>
        <v>18</v>
      </c>
    </row>
    <row r="10" ht="22.5" customHeight="1">
      <c r="A10" s="43">
        <v>45505.0</v>
      </c>
      <c r="B10" s="46">
        <f t="shared" si="2"/>
        <v>532</v>
      </c>
      <c r="C10" s="47">
        <f>'Weekly Inventory'!B91+'Weekly Inventory'!B92+'Weekly Inventory'!B94+'Weekly Inventory'!B98-'Weekly Inventory'!B99</f>
        <v>134</v>
      </c>
      <c r="D10" s="47">
        <f>'Weekly Inventory'!C91+'Weekly Inventory'!C92+'Weekly Inventory'!C94+'Weekly Inventory'!C98-'Weekly Inventory'!C99</f>
        <v>13</v>
      </c>
      <c r="E10" s="47">
        <f>'Weekly Inventory'!D91+'Weekly Inventory'!D92+'Weekly Inventory'!D94+'Weekly Inventory'!D98-'Weekly Inventory'!D99</f>
        <v>80</v>
      </c>
      <c r="F10" s="47">
        <f>'Weekly Inventory'!E91+'Weekly Inventory'!E92+'Weekly Inventory'!E94+'Weekly Inventory'!E98-'Weekly Inventory'!E99</f>
        <v>6</v>
      </c>
      <c r="G10" s="47">
        <f>'Weekly Inventory'!F91+'Weekly Inventory'!F92+'Weekly Inventory'!F94+'Weekly Inventory'!F98-'Weekly Inventory'!F99</f>
        <v>65</v>
      </c>
      <c r="H10" s="47">
        <f>'Weekly Inventory'!G91+'Weekly Inventory'!G92+'Weekly Inventory'!G94+'Weekly Inventory'!G98-'Weekly Inventory'!G99</f>
        <v>57</v>
      </c>
      <c r="I10" s="47">
        <f>'Weekly Inventory'!H91+'Weekly Inventory'!H92+'Weekly Inventory'!H94+'Weekly Inventory'!H98-'Weekly Inventory'!H99</f>
        <v>0</v>
      </c>
      <c r="J10" s="47">
        <f>'Weekly Inventory'!I91+'Weekly Inventory'!I92+'Weekly Inventory'!I94+'Weekly Inventory'!I98-'Weekly Inventory'!I99</f>
        <v>27</v>
      </c>
      <c r="K10" s="47">
        <f>'Weekly Inventory'!L91+'Weekly Inventory'!L92+'Weekly Inventory'!L94+'Weekly Inventory'!L98-'Weekly Inventory'!L99</f>
        <v>90</v>
      </c>
      <c r="L10" s="47">
        <f>'Weekly Inventory'!M91+'Weekly Inventory'!M92+'Weekly Inventory'!M94+'Weekly Inventory'!M98-'Weekly Inventory'!M99</f>
        <v>60</v>
      </c>
      <c r="M10" s="47">
        <f>'Weekly Inventory'!N91+'Weekly Inventory'!N92+'Weekly Inventory'!N94+'Weekly Inventory'!N98-'Weekly Inventory'!N99</f>
        <v>0</v>
      </c>
      <c r="N10" s="47">
        <f>'Weekly Inventory'!O91+'Weekly Inventory'!O92+'Weekly Inventory'!O94+'Weekly Inventory'!O98-'Weekly Inventory'!O99</f>
        <v>0</v>
      </c>
      <c r="O10" s="47">
        <f>'Weekly Inventory'!P91+'Weekly Inventory'!P92+'Weekly Inventory'!P94+'Weekly Inventory'!P98-'Weekly Inventory'!P99</f>
        <v>0</v>
      </c>
      <c r="Q10" s="47">
        <f>'Weekly Inventory'!Q91+'Weekly Inventory'!Q92+'Weekly Inventory'!Q94+'Weekly Inventory'!Q98-'Weekly Inventory'!Q99</f>
        <v>0</v>
      </c>
      <c r="R10" s="47">
        <f>'Weekly Inventory'!R91+'Weekly Inventory'!R92+'Weekly Inventory'!R94+'Weekly Inventory'!R98-'Weekly Inventory'!R99</f>
        <v>0</v>
      </c>
    </row>
    <row r="11" ht="22.5" customHeight="1">
      <c r="A11" s="43">
        <v>45536.0</v>
      </c>
      <c r="B11" s="46">
        <f t="shared" si="2"/>
        <v>282</v>
      </c>
      <c r="C11" s="47">
        <f>'Weekly Inventory'!B99+'Weekly Inventory'!B100+'Weekly Inventory'!B101+'Weekly Inventory'!B102-'Weekly Inventory'!B103</f>
        <v>-7</v>
      </c>
      <c r="D11" s="47">
        <f>'Weekly Inventory'!C99+'Weekly Inventory'!C100+'Weekly Inventory'!C101+'Weekly Inventory'!C102-'Weekly Inventory'!C103</f>
        <v>16</v>
      </c>
      <c r="E11" s="47">
        <f>'Weekly Inventory'!D99+'Weekly Inventory'!D100+'Weekly Inventory'!D101+'Weekly Inventory'!D102-'Weekly Inventory'!D103</f>
        <v>117</v>
      </c>
      <c r="F11" s="47">
        <f>'Weekly Inventory'!E99+'Weekly Inventory'!E100+'Weekly Inventory'!E101+'Weekly Inventory'!E102-'Weekly Inventory'!E103</f>
        <v>22</v>
      </c>
      <c r="G11" s="47">
        <f>'Weekly Inventory'!F99+'Weekly Inventory'!F100+'Weekly Inventory'!F101+'Weekly Inventory'!F102-'Weekly Inventory'!F103</f>
        <v>0</v>
      </c>
      <c r="H11" s="47">
        <f>'Weekly Inventory'!G99+'Weekly Inventory'!G100+'Weekly Inventory'!G101+'Weekly Inventory'!G102-'Weekly Inventory'!G103</f>
        <v>79</v>
      </c>
      <c r="I11" s="47">
        <f>'Weekly Inventory'!H99+'Weekly Inventory'!H100+'Weekly Inventory'!H101+'Weekly Inventory'!H102-'Weekly Inventory'!H103</f>
        <v>-3</v>
      </c>
      <c r="J11" s="47">
        <f>'Weekly Inventory'!I99+'Weekly Inventory'!I100+'Weekly Inventory'!I101+'Weekly Inventory'!I102-'Weekly Inventory'!I103</f>
        <v>13</v>
      </c>
      <c r="K11" s="47">
        <f>'Weekly Inventory'!L99+'Weekly Inventory'!L100+'Weekly Inventory'!L101+'Weekly Inventory'!L102-'Weekly Inventory'!L103</f>
        <v>38</v>
      </c>
      <c r="L11" s="47">
        <f>'Weekly Inventory'!M99+'Weekly Inventory'!M100+'Weekly Inventory'!M101+'Weekly Inventory'!M102-'Weekly Inventory'!M103</f>
        <v>6</v>
      </c>
      <c r="M11" s="47">
        <f>'Weekly Inventory'!N99+'Weekly Inventory'!N100+'Weekly Inventory'!N101+'Weekly Inventory'!N102-'Weekly Inventory'!N103</f>
        <v>0</v>
      </c>
      <c r="N11" s="47">
        <f>'Weekly Inventory'!O99+'Weekly Inventory'!O100+'Weekly Inventory'!O101+'Weekly Inventory'!O102-'Weekly Inventory'!O103</f>
        <v>0</v>
      </c>
      <c r="O11" s="47">
        <f>'Weekly Inventory'!P99+'Weekly Inventory'!P100+'Weekly Inventory'!P101+'Weekly Inventory'!P102-'Weekly Inventory'!P103</f>
        <v>0</v>
      </c>
      <c r="P11" s="47">
        <f>'Weekly Inventory'!Q99+'Weekly Inventory'!Q100+'Weekly Inventory'!Q101+'Weekly Inventory'!Q102-'Weekly Inventory'!Q103</f>
        <v>0</v>
      </c>
      <c r="Q11" s="47">
        <f>'Weekly Inventory'!R99+'Weekly Inventory'!R100+'Weekly Inventory'!R101+'Weekly Inventory'!R102-'Weekly Inventory'!R103</f>
        <v>0</v>
      </c>
      <c r="R11" s="47">
        <f>'Weekly Inventory'!S99+'Weekly Inventory'!S100+'Weekly Inventory'!S101+'Weekly Inventory'!S102-'Weekly Inventory'!S103</f>
        <v>0</v>
      </c>
      <c r="S11" s="47">
        <f>'Weekly Inventory'!T99+'Weekly Inventory'!T100+'Weekly Inventory'!T101+'Weekly Inventory'!T102-'Weekly Inventory'!T103</f>
        <v>1</v>
      </c>
      <c r="T11" s="47">
        <f>'Weekly Inventory'!U99+'Weekly Inventory'!U100+'Weekly Inventory'!U101+'Weekly Inventory'!U102-'Weekly Inventory'!U103</f>
        <v>0</v>
      </c>
      <c r="U11" s="47">
        <f>'Weekly Inventory'!V99+'Weekly Inventory'!V100+'Weekly Inventory'!V101+'Weekly Inventory'!V102-'Weekly Inventory'!V103</f>
        <v>0</v>
      </c>
      <c r="V11" s="47">
        <f>'Weekly Inventory'!W99+'Weekly Inventory'!W100+'Weekly Inventory'!W101+'Weekly Inventory'!W102-'Weekly Inventory'!W103</f>
        <v>0</v>
      </c>
      <c r="W11" s="47">
        <f>'Weekly Inventory'!Y99+'Weekly Inventory'!Y100+'Weekly Inventory'!Y101+'Weekly Inventory'!Y102-'Weekly Inventory'!Y103</f>
        <v>0</v>
      </c>
      <c r="X11" s="47">
        <f>'Weekly Inventory'!Z99+'Weekly Inventory'!Z100+'Weekly Inventory'!Z101+'Weekly Inventory'!Z102-'Weekly Inventory'!Z103</f>
        <v>0</v>
      </c>
      <c r="AG11" s="48">
        <f>'Weekly Inventory'!AH99+'Weekly Inventory'!AH100+'Weekly Inventory'!AH101+'Weekly Inventory'!AH102-'Weekly Inventory'!AH103</f>
        <v>0</v>
      </c>
    </row>
    <row r="12" ht="22.5" customHeight="1">
      <c r="A12" s="43">
        <v>45566.0</v>
      </c>
      <c r="B12" s="46">
        <f t="shared" si="2"/>
        <v>354</v>
      </c>
      <c r="C12" s="46">
        <f>'Weekly Inventory'!B103+'Weekly Inventory'!B104+'Weekly Inventory'!B108-'Weekly Inventory'!B109</f>
        <v>74</v>
      </c>
      <c r="D12" s="46">
        <f>'Weekly Inventory'!C103+'Weekly Inventory'!C104+'Weekly Inventory'!C108-'Weekly Inventory'!C109</f>
        <v>83</v>
      </c>
      <c r="E12" s="46">
        <f>'Weekly Inventory'!D103+'Weekly Inventory'!D104+'Weekly Inventory'!D108-'Weekly Inventory'!D109</f>
        <v>59</v>
      </c>
      <c r="F12" s="46">
        <f>'Weekly Inventory'!E103+'Weekly Inventory'!E104+'Weekly Inventory'!E108-'Weekly Inventory'!E109</f>
        <v>9</v>
      </c>
      <c r="G12" s="46">
        <f>'Weekly Inventory'!F103+'Weekly Inventory'!F104+'Weekly Inventory'!F108-'Weekly Inventory'!F109</f>
        <v>0</v>
      </c>
      <c r="H12" s="46">
        <f>'Weekly Inventory'!G103+'Weekly Inventory'!G104+'Weekly Inventory'!G108-'Weekly Inventory'!G109</f>
        <v>20</v>
      </c>
      <c r="I12" s="46">
        <f>'Weekly Inventory'!H103+'Weekly Inventory'!H104+'Weekly Inventory'!H108-'Weekly Inventory'!H109</f>
        <v>37</v>
      </c>
      <c r="J12" s="46">
        <f>'Weekly Inventory'!I103+'Weekly Inventory'!I104+'Weekly Inventory'!I108-'Weekly Inventory'!I109</f>
        <v>15</v>
      </c>
      <c r="K12" s="46">
        <f>'Weekly Inventory'!L103+'Weekly Inventory'!L104+'Weekly Inventory'!L108-'Weekly Inventory'!L109</f>
        <v>-9</v>
      </c>
      <c r="L12" s="46">
        <f>'Weekly Inventory'!M103+'Weekly Inventory'!M104+'Weekly Inventory'!M108-'Weekly Inventory'!M109</f>
        <v>50</v>
      </c>
      <c r="M12" s="46">
        <f>'Weekly Inventory'!N103+'Weekly Inventory'!N104+'Weekly Inventory'!N108-'Weekly Inventory'!N109</f>
        <v>0</v>
      </c>
      <c r="N12" s="46">
        <f>'Weekly Inventory'!O103+'Weekly Inventory'!O104+'Weekly Inventory'!O108-'Weekly Inventory'!O109</f>
        <v>0</v>
      </c>
      <c r="O12" s="46">
        <f>'Weekly Inventory'!P103+'Weekly Inventory'!P104+'Weekly Inventory'!P108-'Weekly Inventory'!P109</f>
        <v>0</v>
      </c>
      <c r="P12" s="46">
        <f>'Weekly Inventory'!Q103+'Weekly Inventory'!Q104+'Weekly Inventory'!Q108-'Weekly Inventory'!Q109</f>
        <v>0</v>
      </c>
      <c r="Q12" s="46">
        <f>'Weekly Inventory'!R103+'Weekly Inventory'!R104+'Weekly Inventory'!R108-'Weekly Inventory'!R109</f>
        <v>0</v>
      </c>
      <c r="R12" s="46">
        <f>'Weekly Inventory'!S103+'Weekly Inventory'!S104+'Weekly Inventory'!S108-'Weekly Inventory'!S109</f>
        <v>0</v>
      </c>
      <c r="S12" s="46">
        <f>'Weekly Inventory'!T103+'Weekly Inventory'!T104+'Weekly Inventory'!T108-'Weekly Inventory'!T109</f>
        <v>11</v>
      </c>
      <c r="T12" s="46">
        <f>'Weekly Inventory'!U103+'Weekly Inventory'!U104+'Weekly Inventory'!U108-'Weekly Inventory'!U109</f>
        <v>5</v>
      </c>
      <c r="U12" s="46">
        <f>'Weekly Inventory'!V103+'Weekly Inventory'!V104+'Weekly Inventory'!V108-'Weekly Inventory'!V109</f>
        <v>0</v>
      </c>
      <c r="V12" s="46">
        <f>'Weekly Inventory'!W103+'Weekly Inventory'!W104+'Weekly Inventory'!W108-'Weekly Inventory'!W109</f>
        <v>0</v>
      </c>
      <c r="W12" s="46">
        <f>'Weekly Inventory'!Y103+'Weekly Inventory'!Y104+'Weekly Inventory'!Y108-'Weekly Inventory'!Y109</f>
        <v>0</v>
      </c>
      <c r="X12" s="46">
        <f>'Weekly Inventory'!Z103+'Weekly Inventory'!Z104+'Weekly Inventory'!Z108-'Weekly Inventory'!Z109</f>
        <v>0</v>
      </c>
      <c r="Y12" s="46">
        <f>'Weekly Inventory'!J103+'Weekly Inventory'!J104+'Weekly Inventory'!J108-'Weekly Inventory'!J109</f>
        <v>0</v>
      </c>
      <c r="Z12" s="49">
        <f>'Weekly Inventory'!AA103+'Weekly Inventory'!AA104+'Weekly Inventory'!AA108-'Weekly Inventory'!AA109</f>
        <v>0</v>
      </c>
      <c r="AG12" s="49">
        <f>'Weekly Inventory'!AH103+'Weekly Inventory'!AH104-'Weekly Inventory'!AH105</f>
        <v>0</v>
      </c>
    </row>
    <row r="13" ht="22.5" customHeight="1">
      <c r="A13" s="43">
        <v>45597.0</v>
      </c>
      <c r="B13" s="46">
        <f t="shared" si="2"/>
        <v>152</v>
      </c>
      <c r="C13" s="46">
        <f>'Weekly Inventory'!B109+'Weekly Inventory'!B110-'Weekly Inventory'!B111</f>
        <v>19</v>
      </c>
      <c r="D13" s="46">
        <f>'Weekly Inventory'!C109+'Weekly Inventory'!C110-'Weekly Inventory'!C111</f>
        <v>32</v>
      </c>
      <c r="E13" s="46">
        <f>'Weekly Inventory'!D109+'Weekly Inventory'!D110-'Weekly Inventory'!D111</f>
        <v>33</v>
      </c>
      <c r="F13" s="46">
        <f>'Weekly Inventory'!E109+'Weekly Inventory'!E110-'Weekly Inventory'!E111</f>
        <v>-4</v>
      </c>
      <c r="G13" s="46">
        <f>'Weekly Inventory'!F109+'Weekly Inventory'!F110-'Weekly Inventory'!F111</f>
        <v>0</v>
      </c>
      <c r="H13" s="46">
        <f>'Weekly Inventory'!G109+'Weekly Inventory'!G110-'Weekly Inventory'!G111</f>
        <v>16</v>
      </c>
      <c r="I13" s="46">
        <f>'Weekly Inventory'!H109+'Weekly Inventory'!H110-'Weekly Inventory'!H111</f>
        <v>18</v>
      </c>
      <c r="J13" s="46">
        <f>'Weekly Inventory'!I109+'Weekly Inventory'!I110-'Weekly Inventory'!I111</f>
        <v>24</v>
      </c>
      <c r="K13" s="46">
        <f>'Weekly Inventory'!L109+'Weekly Inventory'!L110-'Weekly Inventory'!L111</f>
        <v>9</v>
      </c>
      <c r="L13" s="46">
        <f>'Weekly Inventory'!M109+'Weekly Inventory'!M110-'Weekly Inventory'!M111</f>
        <v>5</v>
      </c>
      <c r="M13" s="46">
        <f>'Weekly Inventory'!N109+'Weekly Inventory'!N110-'Weekly Inventory'!N111</f>
        <v>0</v>
      </c>
      <c r="N13" s="46">
        <f>'Weekly Inventory'!O109+'Weekly Inventory'!O110-'Weekly Inventory'!O111</f>
        <v>0</v>
      </c>
      <c r="O13" s="46">
        <f>'Weekly Inventory'!P109+'Weekly Inventory'!P110-'Weekly Inventory'!P111</f>
        <v>0</v>
      </c>
      <c r="P13" s="46">
        <f>'Weekly Inventory'!Q109+'Weekly Inventory'!Q110-'Weekly Inventory'!Q111</f>
        <v>0</v>
      </c>
      <c r="Q13" s="46">
        <f>'Weekly Inventory'!R109+'Weekly Inventory'!R110-'Weekly Inventory'!R111</f>
        <v>0</v>
      </c>
      <c r="R13" s="46">
        <f>'Weekly Inventory'!S109+'Weekly Inventory'!S110-'Weekly Inventory'!S111</f>
        <v>0</v>
      </c>
      <c r="S13" s="46">
        <f>'Weekly Inventory'!T109+'Weekly Inventory'!T110-'Weekly Inventory'!T111</f>
        <v>0</v>
      </c>
      <c r="T13" s="46">
        <f>'Weekly Inventory'!U109+'Weekly Inventory'!U110-'Weekly Inventory'!U111</f>
        <v>0</v>
      </c>
      <c r="U13" s="46">
        <f>'Weekly Inventory'!V109+'Weekly Inventory'!V110-'Weekly Inventory'!V111</f>
        <v>0</v>
      </c>
      <c r="V13" s="46">
        <f>'Weekly Inventory'!W109+'Weekly Inventory'!W110-'Weekly Inventory'!W111</f>
        <v>0</v>
      </c>
      <c r="W13" s="46">
        <f>'Weekly Inventory'!Y109+'Weekly Inventory'!Y110-'Weekly Inventory'!Y111</f>
        <v>0</v>
      </c>
      <c r="X13" s="46">
        <f>'Weekly Inventory'!Z109+'Weekly Inventory'!Z110-'Weekly Inventory'!Z111</f>
        <v>0</v>
      </c>
      <c r="Y13" s="46">
        <f>'Weekly Inventory'!J109+'Weekly Inventory'!J110-'Weekly Inventory'!J111</f>
        <v>0</v>
      </c>
      <c r="Z13" s="49">
        <f>'Weekly Inventory'!AA109+'Weekly Inventory'!AA110-'Weekly Inventory'!AA111</f>
        <v>0</v>
      </c>
    </row>
    <row r="14">
      <c r="A14" s="45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>
      <c r="A15" s="45" t="s">
        <v>55</v>
      </c>
      <c r="B15" s="49">
        <f t="shared" ref="B15:Z15" si="3">MEDIAN(B2:B13)</f>
        <v>318</v>
      </c>
      <c r="C15" s="49">
        <f t="shared" si="3"/>
        <v>54.5</v>
      </c>
      <c r="D15" s="49">
        <f t="shared" si="3"/>
        <v>29</v>
      </c>
      <c r="E15" s="49">
        <f t="shared" si="3"/>
        <v>46</v>
      </c>
      <c r="F15" s="49">
        <f t="shared" si="3"/>
        <v>9</v>
      </c>
      <c r="G15" s="49">
        <f t="shared" si="3"/>
        <v>0</v>
      </c>
      <c r="H15" s="49">
        <f t="shared" si="3"/>
        <v>22</v>
      </c>
      <c r="I15" s="49">
        <f t="shared" si="3"/>
        <v>18</v>
      </c>
      <c r="J15" s="49">
        <f t="shared" si="3"/>
        <v>7</v>
      </c>
      <c r="K15" s="49">
        <f t="shared" si="3"/>
        <v>30</v>
      </c>
      <c r="L15" s="49">
        <f t="shared" si="3"/>
        <v>39</v>
      </c>
      <c r="M15" s="49">
        <f t="shared" si="3"/>
        <v>0</v>
      </c>
      <c r="N15" s="49">
        <f t="shared" si="3"/>
        <v>0</v>
      </c>
      <c r="O15" s="49">
        <f t="shared" si="3"/>
        <v>0</v>
      </c>
      <c r="P15" s="49">
        <f t="shared" si="3"/>
        <v>0</v>
      </c>
      <c r="Q15" s="49">
        <f t="shared" si="3"/>
        <v>0</v>
      </c>
      <c r="R15" s="49">
        <f t="shared" si="3"/>
        <v>0</v>
      </c>
      <c r="S15" s="49">
        <f t="shared" si="3"/>
        <v>1</v>
      </c>
      <c r="T15" s="49">
        <f t="shared" si="3"/>
        <v>0</v>
      </c>
      <c r="U15" s="49">
        <f t="shared" si="3"/>
        <v>0</v>
      </c>
      <c r="V15" s="49">
        <f t="shared" si="3"/>
        <v>0</v>
      </c>
      <c r="W15" s="49">
        <f t="shared" si="3"/>
        <v>0</v>
      </c>
      <c r="X15" s="49">
        <f t="shared" si="3"/>
        <v>0</v>
      </c>
      <c r="Y15" s="49">
        <f t="shared" si="3"/>
        <v>0</v>
      </c>
      <c r="Z15" s="49">
        <f t="shared" si="3"/>
        <v>0</v>
      </c>
    </row>
    <row r="16">
      <c r="A16" s="45" t="s">
        <v>56</v>
      </c>
      <c r="C16" s="48" t="str">
        <f>'Weekly Inventory'!B109</f>
        <v/>
      </c>
      <c r="D16" s="48" t="str">
        <f>'Weekly Inventory'!C109</f>
        <v/>
      </c>
      <c r="E16" s="48" t="str">
        <f>'Weekly Inventory'!D109</f>
        <v/>
      </c>
      <c r="F16" s="48" t="str">
        <f>'Weekly Inventory'!E109</f>
        <v/>
      </c>
      <c r="G16" s="48" t="str">
        <f>'Weekly Inventory'!F109</f>
        <v/>
      </c>
      <c r="H16" s="48" t="str">
        <f>'Weekly Inventory'!G109</f>
        <v/>
      </c>
      <c r="I16" s="48" t="str">
        <f>'Weekly Inventory'!H109</f>
        <v/>
      </c>
      <c r="J16" s="48">
        <f>'Weekly Inventory'!I109</f>
        <v>24</v>
      </c>
      <c r="K16" s="48">
        <f>'Weekly Inventory'!L109</f>
        <v>9</v>
      </c>
      <c r="L16" s="48" t="str">
        <f>'Weekly Inventory'!M109</f>
        <v/>
      </c>
      <c r="M16" s="48" t="str">
        <f>'Weekly Inventory'!N109</f>
        <v/>
      </c>
      <c r="N16" s="48" t="str">
        <f>'Weekly Inventory'!O109</f>
        <v/>
      </c>
      <c r="O16" s="48" t="str">
        <f>'Weekly Inventory'!P109</f>
        <v/>
      </c>
      <c r="P16" s="48" t="str">
        <f>'Weekly Inventory'!Q109</f>
        <v/>
      </c>
      <c r="Q16" s="48" t="str">
        <f>'Weekly Inventory'!R109</f>
        <v/>
      </c>
      <c r="R16" s="48" t="str">
        <f>'Weekly Inventory'!S109</f>
        <v/>
      </c>
      <c r="S16" s="48" t="str">
        <f>'Weekly Inventory'!T109</f>
        <v/>
      </c>
      <c r="T16" s="48">
        <f>'Weekly Inventory'!U105</f>
        <v>3</v>
      </c>
      <c r="U16" s="48" t="str">
        <f>'Weekly Inventory'!V105</f>
        <v/>
      </c>
      <c r="V16" s="48" t="str">
        <f>'Weekly Inventory'!W105</f>
        <v/>
      </c>
      <c r="W16" s="48" t="str">
        <f>'Weekly Inventory'!Y105</f>
        <v/>
      </c>
      <c r="X16" s="48" t="str">
        <f>'Weekly Inventory'!Z105</f>
        <v/>
      </c>
      <c r="Y16" s="48" t="str">
        <f>'Weekly Inventory'!J109</f>
        <v/>
      </c>
    </row>
    <row r="17">
      <c r="B17" s="50">
        <f>SUM(B2:B13)</f>
        <v>3961</v>
      </c>
      <c r="C17" s="51">
        <f t="shared" ref="C17:X17" si="4">C16/C15</f>
        <v>0</v>
      </c>
      <c r="D17" s="51">
        <f t="shared" si="4"/>
        <v>0</v>
      </c>
      <c r="E17" s="51">
        <f t="shared" si="4"/>
        <v>0</v>
      </c>
      <c r="F17" s="51">
        <f t="shared" si="4"/>
        <v>0</v>
      </c>
      <c r="G17" s="51" t="str">
        <f t="shared" si="4"/>
        <v>#DIV/0!</v>
      </c>
      <c r="H17" s="51">
        <f t="shared" si="4"/>
        <v>0</v>
      </c>
      <c r="I17" s="51">
        <f t="shared" si="4"/>
        <v>0</v>
      </c>
      <c r="J17" s="51">
        <f t="shared" si="4"/>
        <v>3.428571429</v>
      </c>
      <c r="K17" s="51">
        <f t="shared" si="4"/>
        <v>0.3</v>
      </c>
      <c r="L17" s="51">
        <f t="shared" si="4"/>
        <v>0</v>
      </c>
      <c r="M17" s="51" t="str">
        <f t="shared" si="4"/>
        <v>#DIV/0!</v>
      </c>
      <c r="N17" s="51" t="str">
        <f t="shared" si="4"/>
        <v>#DIV/0!</v>
      </c>
      <c r="O17" s="51" t="str">
        <f t="shared" si="4"/>
        <v>#DIV/0!</v>
      </c>
      <c r="P17" s="51" t="str">
        <f t="shared" si="4"/>
        <v>#DIV/0!</v>
      </c>
      <c r="Q17" s="51" t="str">
        <f t="shared" si="4"/>
        <v>#DIV/0!</v>
      </c>
      <c r="R17" s="51" t="str">
        <f t="shared" si="4"/>
        <v>#DIV/0!</v>
      </c>
      <c r="S17" s="51">
        <f t="shared" si="4"/>
        <v>0</v>
      </c>
      <c r="T17" s="51" t="str">
        <f t="shared" si="4"/>
        <v>#DIV/0!</v>
      </c>
      <c r="U17" s="51" t="str">
        <f t="shared" si="4"/>
        <v>#DIV/0!</v>
      </c>
      <c r="V17" s="51" t="str">
        <f t="shared" si="4"/>
        <v>#DIV/0!</v>
      </c>
      <c r="W17" s="51" t="str">
        <f t="shared" si="4"/>
        <v>#DIV/0!</v>
      </c>
      <c r="X17" s="51" t="str">
        <f t="shared" si="4"/>
        <v>#DIV/0!</v>
      </c>
    </row>
    <row r="20">
      <c r="G20" s="50">
        <f>SUM(Table2[Gin 1])</f>
        <v>239</v>
      </c>
      <c r="H20" s="50">
        <f>SUM(Table2[Gin 2])</f>
        <v>570</v>
      </c>
    </row>
    <row r="21">
      <c r="C21" s="50">
        <f>SUM(Table2[Vodka])</f>
        <v>634</v>
      </c>
    </row>
  </sheetData>
  <conditionalFormatting sqref="B16:Z16">
    <cfRule type="cellIs" dxfId="5" priority="1" operator="lessThanOrEqual">
      <formula>B15</formula>
    </cfRule>
  </conditionalFormatting>
  <conditionalFormatting sqref="B16:Z16">
    <cfRule type="cellIs" dxfId="6" priority="2" operator="greaterThanOrEqual">
      <formula>B15</formula>
    </cfRule>
  </conditionalFormatting>
  <dataValidations>
    <dataValidation type="custom" allowBlank="1" showDropDown="1" sqref="A2:A1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45" t="s">
        <v>57</v>
      </c>
      <c r="C3" s="45" t="s">
        <v>58</v>
      </c>
      <c r="D3" s="45" t="s">
        <v>59</v>
      </c>
      <c r="E3" s="45" t="s">
        <v>60</v>
      </c>
      <c r="F3" s="45" t="s">
        <v>61</v>
      </c>
      <c r="G3" s="45" t="s">
        <v>62</v>
      </c>
      <c r="H3" s="45" t="s">
        <v>63</v>
      </c>
      <c r="I3" s="45" t="s">
        <v>64</v>
      </c>
    </row>
    <row r="4">
      <c r="A4" s="45" t="s">
        <v>65</v>
      </c>
      <c r="B4" s="45">
        <v>56.07</v>
      </c>
      <c r="C4" s="48">
        <f t="shared" ref="C4:I4" si="1">B7</f>
        <v>95.71</v>
      </c>
      <c r="D4" s="48">
        <f t="shared" si="1"/>
        <v>80.65</v>
      </c>
      <c r="E4" s="48">
        <f t="shared" si="1"/>
        <v>97.09</v>
      </c>
      <c r="F4" s="48">
        <f t="shared" si="1"/>
        <v>124.24</v>
      </c>
      <c r="G4" s="48">
        <f t="shared" si="1"/>
        <v>178.53</v>
      </c>
      <c r="H4" s="48">
        <f t="shared" si="1"/>
        <v>177.34</v>
      </c>
      <c r="I4" s="48" t="str">
        <f t="shared" si="1"/>
        <v/>
      </c>
    </row>
    <row r="5">
      <c r="A5" s="45" t="s">
        <v>66</v>
      </c>
      <c r="B5" s="45">
        <v>59.45</v>
      </c>
      <c r="C5" s="45">
        <v>22.99</v>
      </c>
      <c r="D5" s="45">
        <v>30.52</v>
      </c>
      <c r="E5" s="45">
        <v>61.43</v>
      </c>
      <c r="F5" s="45">
        <v>76.68</v>
      </c>
      <c r="G5" s="45">
        <v>31.31</v>
      </c>
    </row>
    <row r="6">
      <c r="A6" s="45" t="s">
        <v>67</v>
      </c>
      <c r="B6" s="48">
        <f t="shared" ref="B6:I6" si="2">B7-B4-B5</f>
        <v>-19.81</v>
      </c>
      <c r="C6" s="48">
        <f t="shared" si="2"/>
        <v>-38.05</v>
      </c>
      <c r="D6" s="48">
        <f t="shared" si="2"/>
        <v>-14.08</v>
      </c>
      <c r="E6" s="48">
        <f t="shared" si="2"/>
        <v>-34.28</v>
      </c>
      <c r="F6" s="48">
        <f t="shared" si="2"/>
        <v>-22.39</v>
      </c>
      <c r="G6" s="48">
        <f t="shared" si="2"/>
        <v>-32.5</v>
      </c>
      <c r="H6" s="48">
        <f t="shared" si="2"/>
        <v>-177.34</v>
      </c>
      <c r="I6" s="48">
        <f t="shared" si="2"/>
        <v>0</v>
      </c>
    </row>
    <row r="7">
      <c r="A7" s="45" t="s">
        <v>68</v>
      </c>
      <c r="B7" s="45">
        <v>95.71</v>
      </c>
      <c r="C7" s="45">
        <v>80.65</v>
      </c>
      <c r="D7" s="45">
        <v>97.09</v>
      </c>
      <c r="E7" s="45">
        <v>124.24</v>
      </c>
      <c r="F7" s="45">
        <v>178.53</v>
      </c>
      <c r="G7" s="45">
        <v>177.34</v>
      </c>
    </row>
    <row r="9">
      <c r="B9" s="45" t="s">
        <v>69</v>
      </c>
      <c r="C9" s="45" t="s">
        <v>69</v>
      </c>
      <c r="D9" s="45" t="s">
        <v>69</v>
      </c>
      <c r="E9" s="45" t="s">
        <v>69</v>
      </c>
      <c r="F9" s="45" t="s">
        <v>69</v>
      </c>
      <c r="G9" s="45" t="s">
        <v>69</v>
      </c>
    </row>
  </sheetData>
  <drawing r:id="rId1"/>
</worksheet>
</file>